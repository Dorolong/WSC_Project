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27WSC\"/>
    </mc:Choice>
  </mc:AlternateContent>
  <xr:revisionPtr revIDLastSave="0" documentId="13_ncr:1_{E617FFCF-74DA-45D6-9EA1-A4D5179D58FC}" xr6:coauthVersionLast="47" xr6:coauthVersionMax="47" xr10:uidLastSave="{00000000-0000-0000-0000-000000000000}"/>
  <bookViews>
    <workbookView xWindow="-108" yWindow="-108" windowWidth="23256" windowHeight="12456" tabRatio="577" activeTab="1" xr2:uid="{00000000-000D-0000-FFFF-FFFF00000000}"/>
  </bookViews>
  <sheets>
    <sheet name="개요" sheetId="1" r:id="rId1"/>
    <sheet name="BMS(HV)" sheetId="2" r:id="rId2"/>
    <sheet name="BMS(LV)" sheetId="3" r:id="rId3"/>
    <sheet name="MPPT" sheetId="4" r:id="rId4"/>
    <sheet name="Motor" sheetId="5" r:id="rId5"/>
    <sheet name="전체 요약" sheetId="6" r:id="rId6"/>
    <sheet name="테스트 후 상관분석" sheetId="7" r:id="rId7"/>
    <sheet name="시뮬레이션 연계" sheetId="8" r:id="rId8"/>
    <sheet name="디스플레이 표시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9" i="7" l="1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</calcChain>
</file>

<file path=xl/sharedStrings.xml><?xml version="1.0" encoding="utf-8"?>
<sst xmlns="http://schemas.openxmlformats.org/spreadsheetml/2006/main" count="793" uniqueCount="607">
  <si>
    <t>현재 CAN 수신 데이터 정리</t>
  </si>
  <si>
    <t>CAN 수신 데이터 통합 정리 · 시뮬레이션 연계 · 디스플레이 연계 정리 · 작성 기준 2026-07-13(개정)</t>
  </si>
  <si>
    <t>■ 문서 구성 (시트 9개)</t>
  </si>
  <si>
    <t>① BMS(HV)</t>
  </si>
  <si>
    <t>② BMS(LV)</t>
  </si>
  <si>
    <t>③ MPPT</t>
  </si>
  <si>
    <t>태양광 MPPT #1~#3 채널 수신 데이터. 21개 CAN ID, 🟢 확정.</t>
  </si>
  <si>
    <t>④ Motor</t>
  </si>
  <si>
    <t>모터 컨트롤러(WaveSculptor22 매뉴얼 기준) 수신 데이터. 13개 CAN ID, 🟠 잠정(VCU 스펙 확정 시 전면 교체 예정).</t>
  </si>
  <si>
    <t>⑤ 테스트 후 상관분석</t>
  </si>
  <si>
    <t>시험 주행 후 Pearson·Spearman 상관분석으로 PRIMARY·DETAIL·SD_ONLY·삭제 여부를 재판정하는 기준과 절차.</t>
  </si>
  <si>
    <t>⑥ 시뮬레이션 연계</t>
  </si>
  <si>
    <r>
      <rPr>
        <sz val="10"/>
        <color rgb="FF000000"/>
        <rFont val="Malgun Gothic"/>
        <family val="3"/>
        <charset val="129"/>
      </rPr>
      <t xml:space="preserve">WSC_DriveEff_Project </t>
    </r>
    <r>
      <rPr>
        <sz val="10"/>
        <color rgb="FF000000"/>
        <rFont val="Noto Sans CJK SC"/>
        <family val="2"/>
      </rPr>
      <t>주행효율 시뮬레이션</t>
    </r>
    <r>
      <rPr>
        <sz val="10"/>
        <color rgb="FF000000"/>
        <rFont val="Malgun Gothic"/>
        <family val="3"/>
        <charset val="129"/>
      </rPr>
      <t xml:space="preserve">(app.py </t>
    </r>
    <r>
      <rPr>
        <sz val="10"/>
        <color rgb="FF000000"/>
        <rFont val="Noto Sans CJK SC"/>
        <family val="2"/>
      </rPr>
      <t>등</t>
    </r>
    <r>
      <rPr>
        <sz val="10"/>
        <color rgb="FF000000"/>
        <rFont val="Malgun Gothic"/>
        <family val="3"/>
        <charset val="129"/>
      </rPr>
      <t>)</t>
    </r>
    <r>
      <rPr>
        <sz val="10"/>
        <color rgb="FF000000"/>
        <rFont val="Noto Sans CJK SC"/>
        <family val="2"/>
      </rPr>
      <t xml:space="preserve">과 </t>
    </r>
    <r>
      <rPr>
        <sz val="10"/>
        <color rgb="FF000000"/>
        <rFont val="Malgun Gothic"/>
        <family val="3"/>
        <charset val="129"/>
      </rPr>
      <t xml:space="preserve">CAN </t>
    </r>
    <r>
      <rPr>
        <sz val="10"/>
        <color rgb="FF000000"/>
        <rFont val="Noto Sans CJK SC"/>
        <family val="2"/>
      </rPr>
      <t>데이터의 입력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검증 매핑</t>
    </r>
    <r>
      <rPr>
        <sz val="10"/>
        <color rgb="FF000000"/>
        <rFont val="Malgun Gothic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현재는 설계 가정값으로 구동 중이며</t>
    </r>
    <r>
      <rPr>
        <sz val="10"/>
        <color rgb="FF000000"/>
        <rFont val="Malgun Gothic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실측 </t>
    </r>
    <r>
      <rPr>
        <sz val="10"/>
        <color rgb="FF000000"/>
        <rFont val="Malgun Gothic"/>
        <family val="3"/>
        <charset val="129"/>
      </rPr>
      <t xml:space="preserve">CAN </t>
    </r>
    <r>
      <rPr>
        <sz val="10"/>
        <color rgb="FF000000"/>
        <rFont val="Noto Sans CJK SC"/>
        <family val="2"/>
      </rPr>
      <t>연동 로드맵을 정리</t>
    </r>
    <r>
      <rPr>
        <sz val="10"/>
        <color rgb="FF000000"/>
        <rFont val="Malgun Gothic"/>
        <family val="3"/>
        <charset val="129"/>
      </rPr>
      <t>.</t>
    </r>
  </si>
  <si>
    <t>⑦ 디스플레이 표시</t>
  </si>
  <si>
    <t>계기장치(디스플레이) 표시 항목 14종 + CAN 송수신 데이터 요약(디스플레이_송수신데이터_정리.xlsx 통합). 레이아웃·핸들 디자인 예시 이미지 포함.</t>
  </si>
  <si>
    <t>⑧ 전체 요약</t>
  </si>
  <si>
    <t>■ BMS 구조</t>
  </si>
  <si>
    <t>BMS 구성</t>
  </si>
  <si>
    <r>
      <rPr>
        <sz val="10"/>
        <color rgb="FF000000"/>
        <rFont val="Malgun Gothic"/>
        <family val="3"/>
        <charset val="129"/>
      </rPr>
      <t>BMS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Malgun Gothic"/>
        <family val="3"/>
        <charset val="129"/>
      </rPr>
      <t xml:space="preserve">HV, LV </t>
    </r>
    <r>
      <rPr>
        <sz val="10"/>
        <color rgb="FF000000"/>
        <rFont val="Noto Sans CJK SC"/>
        <family val="2"/>
      </rPr>
      <t>두 개 존재</t>
    </r>
    <r>
      <rPr>
        <sz val="10"/>
        <color rgb="FF000000"/>
        <rFont val="Malgun Gothic"/>
        <family val="3"/>
        <charset val="129"/>
      </rPr>
      <t xml:space="preserve">. CAN </t>
    </r>
    <r>
      <rPr>
        <sz val="10"/>
        <color rgb="FF000000"/>
        <rFont val="Noto Sans CJK SC"/>
        <family val="2"/>
      </rPr>
      <t xml:space="preserve">버스도 </t>
    </r>
    <r>
      <rPr>
        <sz val="10"/>
        <color rgb="FF000000"/>
        <rFont val="Malgun Gothic"/>
        <family val="3"/>
        <charset val="129"/>
      </rPr>
      <t>2</t>
    </r>
    <r>
      <rPr>
        <sz val="10"/>
        <color rgb="FF000000"/>
        <rFont val="Noto Sans CJK SC"/>
        <family val="2"/>
      </rPr>
      <t>개로 분리됨</t>
    </r>
    <r>
      <rPr>
        <sz val="10"/>
        <color rgb="FF000000"/>
        <rFont val="Malgun Gothic"/>
        <family val="3"/>
        <charset val="129"/>
      </rPr>
      <t>(</t>
    </r>
    <r>
      <rPr>
        <sz val="10"/>
        <color rgb="FF000000"/>
        <rFont val="Noto Sans CJK SC"/>
        <family val="2"/>
      </rPr>
      <t>센서 보드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대시보드 등 덜 중요한 데이터는 별도 버스</t>
    </r>
    <r>
      <rPr>
        <sz val="10"/>
        <color rgb="FF000000"/>
        <rFont val="Malgun Gothic"/>
        <family val="3"/>
        <charset val="129"/>
      </rPr>
      <t>).</t>
    </r>
  </si>
  <si>
    <t>BMS(HV) 상세</t>
  </si>
  <si>
    <t>SOC 계산 방식</t>
  </si>
  <si>
    <t>■ 상태 표기 기준</t>
  </si>
  <si>
    <t>🟢 확정</t>
  </si>
  <si>
    <t>실제 구현 및 대조가 완료되어 CAN ID·데이터·스케일이 확정된 항목(BMS(HV), MPPT).</t>
  </si>
  <si>
    <t>🟠 잠정</t>
  </si>
  <si>
    <t>🟠 미정</t>
  </si>
  <si>
    <t>■ 구분(신호 우선순위) 기준</t>
  </si>
  <si>
    <t>PRIMARY</t>
  </si>
  <si>
    <t>실시간 주행전략 계산 및 운전자 판단에 상시 사용하는 핵심 데이터.</t>
  </si>
  <si>
    <t>DETAIL</t>
  </si>
  <si>
    <t>모델 보정·제약 예측·상세 진단에 사용하는 저우선순위 데이터.</t>
  </si>
  <si>
    <t>SD_ONLY</t>
  </si>
  <si>
    <t>무선 미전송, SD카드에 원본 저장 후 시험·고장 원인 분석에 사용하는 데이터.</t>
  </si>
  <si>
    <t>■ 주행전략 활용 및 시험 후 데이터 선별 기준</t>
  </si>
  <si>
    <t>시험 주행 전</t>
  </si>
  <si>
    <t>영향도를 미리 단정하지 않고 모든 후보 데이터를 동일 시간축으로 수집한다. 전 신호의 원본은 SD카드에 보존한다.</t>
  </si>
  <si>
    <t>핵심 목적변수</t>
  </si>
  <si>
    <t>구간 소비에너지(Wh/km), 배터리 순전력, ΔSOC/km, MPPT 누적 발전량(Wh), 목표속도 추종오차, 열·전압 제한 발생 여부.</t>
  </si>
  <si>
    <t>Pearson</t>
  </si>
  <si>
    <t>연속형 변수의 선형 관계를 평가한다. 예: 속도·경사·온도와 Wh/km 또는 ΔSOC/km의 관계.</t>
  </si>
  <si>
    <t>Spearman</t>
  </si>
  <si>
    <t>비선형이지만 단조로운 관계와 이상치가 포함된 관계를 평가한다. Pearson과 함께 영향 방향과 순위를 확인한다.</t>
  </si>
  <si>
    <t>분석 전 처리</t>
  </si>
  <si>
    <r>
      <rPr>
        <sz val="10"/>
        <color rgb="FF000000"/>
        <rFont val="Malgun Gothic"/>
        <family val="3"/>
        <charset val="129"/>
      </rPr>
      <t xml:space="preserve">CAN </t>
    </r>
    <r>
      <rPr>
        <sz val="10"/>
        <color rgb="FF000000"/>
        <rFont val="Noto Sans CJK SC"/>
        <family val="2"/>
      </rPr>
      <t>시간 동기화와 동일 주기 리샘플링을 수행한다</t>
    </r>
    <r>
      <rPr>
        <sz val="10"/>
        <color rgb="FF000000"/>
        <rFont val="Malgun Gothic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누적값은 </t>
    </r>
    <r>
      <rPr>
        <sz val="10"/>
        <color rgb="FF000000"/>
        <rFont val="Malgun Gothic"/>
        <family val="3"/>
        <charset val="129"/>
      </rPr>
      <t>ΔAh·ΔWh·Δ</t>
    </r>
    <r>
      <rPr>
        <sz val="10"/>
        <color rgb="FF000000"/>
        <rFont val="Noto Sans CJK SC"/>
        <family val="2"/>
      </rPr>
      <t>거리로 변환하고 정차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가속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오르막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내리막을 분리한다</t>
    </r>
    <r>
      <rPr>
        <sz val="10"/>
        <color rgb="FF000000"/>
        <rFont val="Malgun Gothic"/>
        <family val="3"/>
        <charset val="129"/>
      </rPr>
      <t>.</t>
    </r>
  </si>
  <si>
    <t>유지 기준</t>
  </si>
  <si>
    <t>에너지/SOC 계산에 직접 쓰이거나 전압·온도·고장 한계를 판단하는 데이터는 상관계수와 관계없이 유지한다.</t>
  </si>
  <si>
    <t>저주기 전환</t>
  </si>
  <si>
    <t>상관은 낮지만 모델 보정·고장 원인 분석 가치가 있는 데이터는 DETAIL 또는 SD_ONLY로 전환한다.</t>
  </si>
  <si>
    <t>삭제 기준</t>
  </si>
  <si>
    <t>여러 조건의 반복 시험에서 Pearson·Spearman이 모두 낮고, 다른 신호와 중복되며, 직접 계산·안전·진단 가치가 없는 신호만 삭제한다.</t>
  </si>
  <si>
    <t>주의</t>
  </si>
  <si>
    <t>상관계수는 인과관계를 의미하지 않는다. Fault·Mode·Protection 같은 상태값은 이벤트 전후 비교로 평가하며 안전 신호는 삭제하지 않는다.</t>
  </si>
  <si>
    <t>상세 절차</t>
  </si>
  <si>
    <t>분석 순서·판정 기준(|r|/|ρ| 임계값 등)의 세부 내용은 "테스트 후 상관분석" 시트를 참고한다.</t>
  </si>
  <si>
    <t>■ 시뮬레이션·디스플레이 연계 요약</t>
  </si>
  <si>
    <t>시뮬레이션 현황</t>
  </si>
  <si>
    <t>시뮬레이션 엔진·MPC는 완성되어 평균 63~64km/h 완주를 확인했으나, 모든 입력값은 실측 CAN이 아닌 설계 가정값·과거 평균 기상데이터로 구동 중이다. 실측 연동 순서는 "시뮬레이션 연계" 시트 참고.</t>
  </si>
  <si>
    <t>디스플레이 현황</t>
  </si>
  <si>
    <t>대상</t>
  </si>
  <si>
    <t>구분</t>
  </si>
  <si>
    <t>CAN ID</t>
  </si>
  <si>
    <t>수신 데이터</t>
  </si>
  <si>
    <t>설명</t>
  </si>
  <si>
    <t>필요 이유 / 용도</t>
  </si>
  <si>
    <t>BOT</t>
  </si>
  <si>
    <t>Global_Fault(u32), BattStat(u16), Alarm(u16)</t>
  </si>
  <si>
    <t>팩 전체 고장 코드, 배터리 상태(충전/방전/보호 등), 경고 플래그를 담은 종합 상태 프레임</t>
  </si>
  <si>
    <r>
      <rPr>
        <sz val="10"/>
        <color rgb="FF000000"/>
        <rFont val="Malgun Gothic"/>
        <family val="3"/>
        <charset val="129"/>
      </rPr>
      <t xml:space="preserve">BMS </t>
    </r>
    <r>
      <rPr>
        <sz val="10"/>
        <color rgb="FF000000"/>
        <rFont val="Noto Sans CJK SC"/>
        <family val="2"/>
      </rPr>
      <t>보호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고장 발생 시 목표 출력 제한</t>
    </r>
    <r>
      <rPr>
        <sz val="10"/>
        <color rgb="FF000000"/>
        <rFont val="Malgun Gothic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감속 또는 정지를 결정한다</t>
    </r>
    <r>
      <rPr>
        <sz val="10"/>
        <color rgb="FF000000"/>
        <rFont val="Malgun Gothic"/>
        <family val="3"/>
        <charset val="129"/>
      </rPr>
      <t>. BattStat</t>
    </r>
    <r>
      <rPr>
        <sz val="10"/>
        <color rgb="FF000000"/>
        <rFont val="Noto Sans CJK SC"/>
        <family val="2"/>
      </rPr>
      <t>으로 충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방전 가능 상태를 확인하고 비정상 구간은 에너지 모델 분석에서 제외한다</t>
    </r>
    <r>
      <rPr>
        <sz val="10"/>
        <color rgb="FF000000"/>
        <rFont val="Malgun Gothic"/>
        <family val="3"/>
        <charset val="129"/>
      </rPr>
      <t>.</t>
    </r>
  </si>
  <si>
    <t>Stack_Voltage(u32, mV), Pack_Voltage(u32, mV)</t>
  </si>
  <si>
    <t>셀 스택 전체 전압과 팩 출력단 전압(mV)</t>
  </si>
  <si>
    <r>
      <rPr>
        <sz val="10"/>
        <color rgb="FF000000"/>
        <rFont val="Malgun Gothic"/>
        <family val="3"/>
        <charset val="129"/>
      </rPr>
      <t>Pack Current</t>
    </r>
    <r>
      <rPr>
        <sz val="10"/>
        <color rgb="FF000000"/>
        <rFont val="Noto Sans CJK SC"/>
        <family val="2"/>
      </rPr>
      <t>와 곱해 배터리 입출력 전력과 구간 소비에너지</t>
    </r>
    <r>
      <rPr>
        <sz val="10"/>
        <color rgb="FF000000"/>
        <rFont val="Malgun Gothic"/>
        <family val="3"/>
        <charset val="129"/>
      </rPr>
      <t>(Wh)</t>
    </r>
    <r>
      <rPr>
        <sz val="10"/>
        <color rgb="FF000000"/>
        <rFont val="Noto Sans CJK SC"/>
        <family val="2"/>
      </rPr>
      <t>를 계산한다</t>
    </r>
    <r>
      <rPr>
        <sz val="10"/>
        <color rgb="FF000000"/>
        <rFont val="Malgun Gothic"/>
        <family val="3"/>
        <charset val="129"/>
      </rPr>
      <t xml:space="preserve">. Stack/Pack </t>
    </r>
    <r>
      <rPr>
        <sz val="10"/>
        <color rgb="FF000000"/>
        <rFont val="Noto Sans CJK SC"/>
        <family val="2"/>
      </rPr>
      <t>전압 차이는 배선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컨택터 전압강하 및 내부저항 모델 보정에 사용한다</t>
    </r>
    <r>
      <rPr>
        <sz val="10"/>
        <color rgb="FF000000"/>
        <rFont val="Malgun Gothic"/>
        <family val="3"/>
        <charset val="129"/>
      </rPr>
      <t>.</t>
    </r>
  </si>
  <si>
    <t>Pack_Current(i16), MaxCell_Voltage(u16, mV), MinCell_Voltage(u16, mV), CellTemp(i16, 0.1℃)</t>
  </si>
  <si>
    <t>팩 충방전 전류, 셀 전압 최대/최소값, 대표 셀 온도</t>
  </si>
  <si>
    <r>
      <rPr>
        <sz val="10"/>
        <color rgb="FF000000"/>
        <rFont val="Malgun Gothic"/>
        <family val="3"/>
        <charset val="129"/>
      </rPr>
      <t>DETAIL(</t>
    </r>
    <r>
      <rPr>
        <sz val="10"/>
        <color rgb="FF000000"/>
        <rFont val="Noto Sans CJK SC"/>
        <family val="2"/>
      </rPr>
      <t>온도</t>
    </r>
    <r>
      <rPr>
        <sz val="10"/>
        <color rgb="FF000000"/>
        <rFont val="Malgun Gothic"/>
        <family val="3"/>
        <charset val="129"/>
      </rPr>
      <t>)</t>
    </r>
  </si>
  <si>
    <t>CellTemp(TS1), FETTemp, IntTemp, CFETOFFTemp (i16×4, 0.1℃)</t>
  </si>
  <si>
    <t>서미스터별 온도: 대표 셀, FET, 내부(IC), 충전FET 차단 온도</t>
  </si>
  <si>
    <t>셀·FET·내부 온도와 온도 상승률을 이용해 현재 출력을 얼마나 지속할 수 있는지 예측하고, 열 디레이팅이 예상되면 오르막 전 목표속도를 낮춘다.</t>
  </si>
  <si>
    <t>HDQTemp, MaxCellTemp, MinCellTemp, AvgCellTemp (i16×4, 0.1℃)</t>
  </si>
  <si>
    <r>
      <rPr>
        <sz val="10"/>
        <color rgb="FF000000"/>
        <rFont val="Malgun Gothic"/>
        <family val="3"/>
        <charset val="129"/>
      </rPr>
      <t xml:space="preserve">HDQ </t>
    </r>
    <r>
      <rPr>
        <sz val="10"/>
        <color rgb="FF000000"/>
        <rFont val="Noto Sans CJK SC"/>
        <family val="2"/>
      </rPr>
      <t>핀 온도</t>
    </r>
    <r>
      <rPr>
        <sz val="10"/>
        <color rgb="FF000000"/>
        <rFont val="Malgun Gothic"/>
        <family val="3"/>
        <charset val="129"/>
      </rPr>
      <t>(</t>
    </r>
    <r>
      <rPr>
        <sz val="10"/>
        <color rgb="FF000000"/>
        <rFont val="Noto Sans CJK SC"/>
        <family val="2"/>
      </rPr>
      <t>셀 온도</t>
    </r>
    <r>
      <rPr>
        <sz val="10"/>
        <color rgb="FF000000"/>
        <rFont val="Malgun Gothic"/>
        <family val="3"/>
        <charset val="129"/>
      </rPr>
      <t>)</t>
    </r>
    <r>
      <rPr>
        <sz val="10"/>
        <color rgb="FF000000"/>
        <rFont val="Noto Sans CJK SC"/>
        <family val="2"/>
      </rPr>
      <t>와 셀 온도 최대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최소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평균</t>
    </r>
  </si>
  <si>
    <t>셀 온도 편차와 최고온도를 확인해 가장 뜨거운 셀 기준의 지속 가능 출력과 냉각 필요성을 판단한다.</t>
  </si>
  <si>
    <r>
      <rPr>
        <sz val="10"/>
        <color rgb="FF000000"/>
        <rFont val="Malgun Gothic"/>
        <family val="3"/>
        <charset val="129"/>
      </rPr>
      <t>DETAIL(</t>
    </r>
    <r>
      <rPr>
        <sz val="10"/>
        <color rgb="FF000000"/>
        <rFont val="Noto Sans CJK SC"/>
        <family val="2"/>
      </rPr>
      <t>쿨롱</t>
    </r>
    <r>
      <rPr>
        <sz val="10"/>
        <color rgb="FF000000"/>
        <rFont val="Malgun Gothic"/>
        <family val="3"/>
        <charset val="129"/>
      </rPr>
      <t>)</t>
    </r>
  </si>
  <si>
    <t>AccumChargeInt(i32), AccumChargeFrac(u32)</t>
  </si>
  <si>
    <t>누적 충전량(쿨롱 카운팅) 정수부/소수부</t>
  </si>
  <si>
    <t>누적 쿨롱카운트 차분으로 ΔAh와 SOC를 계산하는 실제 산출 기준값이다. Pack Current 적분값(임시 계산)과 비교해 오차를 검증·보정한다.</t>
  </si>
  <si>
    <t>AccumChargeTime(u32), CC2Counts(i32)</t>
  </si>
  <si>
    <t>누적 충전 시간과 2차 쿨롱 카운터 값</t>
  </si>
  <si>
    <t>쿨롱 적분 시간과 보조 카운터를 이용해 SOC 계산 데이터가 끊기지 않았는지 검증한다. 직접적인 목표속도 입력은 아니다.</t>
  </si>
  <si>
    <r>
      <rPr>
        <sz val="10"/>
        <color rgb="FF000000"/>
        <rFont val="Malgun Gothic"/>
        <family val="3"/>
        <charset val="129"/>
      </rPr>
      <t>DETAIL(</t>
    </r>
    <r>
      <rPr>
        <sz val="10"/>
        <color rgb="FF000000"/>
        <rFont val="Noto Sans CJK SC"/>
        <family val="2"/>
      </rPr>
      <t>셀전압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</si>
  <si>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Cell[0..15] </t>
    </r>
    <r>
      <rPr>
        <sz val="10"/>
        <color rgb="FF000000"/>
        <rFont val="Noto Sans CJK SC"/>
        <family val="2"/>
      </rPr>
      <t xml:space="preserve">전압 </t>
    </r>
    <r>
      <rPr>
        <sz val="10"/>
        <color rgb="FF000000"/>
        <rFont val="Malgun Gothic"/>
        <family val="3"/>
        <charset val="129"/>
      </rPr>
      <t>(u16×4/frame, mV)</t>
    </r>
  </si>
  <si>
    <t>개별 셀 16개의 전압값(프레임당 4셀씩 4프레임, mV)</t>
  </si>
  <si>
    <t>개별 셀 중 가장 약한 셀과 셀 편차를 찾아 실제 사용 가능한 에너지와 방전 한계를 산정한다.</t>
  </si>
  <si>
    <t>SD_ONLY(CUV)</t>
  </si>
  <si>
    <r>
      <rPr>
        <sz val="10"/>
        <color rgb="FF000000"/>
        <rFont val="Malgun Gothic"/>
        <family val="3"/>
        <charset val="129"/>
      </rPr>
      <t>CUV(</t>
    </r>
    <r>
      <rPr>
        <sz val="10"/>
        <color rgb="FF000000"/>
        <rFont val="Noto Sans CJK SC"/>
        <family val="2"/>
      </rPr>
      <t>저전압</t>
    </r>
    <r>
      <rPr>
        <sz val="10"/>
        <color rgb="FF000000"/>
        <rFont val="Malgun Gothic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>스냅샷</t>
    </r>
    <r>
      <rPr>
        <sz val="10"/>
        <color rgb="FF000000"/>
        <rFont val="Malgun Gothic"/>
        <family val="3"/>
        <charset val="129"/>
      </rPr>
      <t>[0..15] (u16×4/frame, mV)</t>
    </r>
  </si>
  <si>
    <t>저전압(Cell Under Voltage) 보호 발동 시점의 셀별 전압 스냅샷</t>
  </si>
  <si>
    <t>저전압 보호 직전 셀 상태를 분석해 저SOC·고출력 구간의 안전 하한과 목표 출력 제한값을 보정한다.</t>
  </si>
  <si>
    <t>SD_ONLY(COV)</t>
  </si>
  <si>
    <r>
      <rPr>
        <sz val="10"/>
        <color rgb="FF000000"/>
        <rFont val="Malgun Gothic"/>
        <family val="3"/>
        <charset val="129"/>
      </rPr>
      <t>COV(</t>
    </r>
    <r>
      <rPr>
        <sz val="10"/>
        <color rgb="FF000000"/>
        <rFont val="Noto Sans CJK SC"/>
        <family val="2"/>
      </rPr>
      <t>과전압</t>
    </r>
    <r>
      <rPr>
        <sz val="10"/>
        <color rgb="FF000000"/>
        <rFont val="Malgun Gothic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>스냅샷</t>
    </r>
    <r>
      <rPr>
        <sz val="10"/>
        <color rgb="FF000000"/>
        <rFont val="Malgun Gothic"/>
        <family val="3"/>
        <charset val="129"/>
      </rPr>
      <t>[0..15] (u16×4/frame, mV)</t>
    </r>
  </si>
  <si>
    <t>과전압(Cell Over Voltage) 보호 발동 시점의 셀별 전압 스냅샷</t>
  </si>
  <si>
    <t>과전압 보호 조건을 분석해 고SOC에서 허용 가능한 회생제동과 MPPT 충전 상한을 설정한다.</t>
  </si>
  <si>
    <r>
      <rPr>
        <sz val="10"/>
        <color rgb="FF000000"/>
        <rFont val="Malgun Gothic"/>
        <family val="3"/>
        <charset val="129"/>
      </rPr>
      <t>SD_ONLY(</t>
    </r>
    <r>
      <rPr>
        <sz val="10"/>
        <color rgb="FF000000"/>
        <rFont val="Noto Sans CJK SC"/>
        <family val="2"/>
      </rPr>
      <t>밸런싱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</si>
  <si>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CB_Status1 (u16 </t>
    </r>
    <r>
      <rPr>
        <sz val="10"/>
        <color rgb="FF000000"/>
        <rFont val="Noto Sans CJK SC"/>
        <family val="2"/>
      </rPr>
      <t>비트맵</t>
    </r>
    <r>
      <rPr>
        <sz val="10"/>
        <color rgb="FF000000"/>
        <rFont val="Malgun Gothic"/>
        <family val="3"/>
        <charset val="129"/>
      </rPr>
      <t>)</t>
    </r>
  </si>
  <si>
    <t>셀 밸런싱(Cell Balancing) 활성 상태 비트맵 1</t>
  </si>
  <si>
    <t>셀 편차가 밸런싱 동작 중 발생한 것인지 구분하고 출발 전 충전·정비 상태 및 SOC 신뢰도를 판단한다.</t>
  </si>
  <si>
    <r>
      <rPr>
        <sz val="10"/>
        <color rgb="FF000000"/>
        <rFont val="Malgun Gothic"/>
        <family val="3"/>
        <charset val="129"/>
      </rPr>
      <t xml:space="preserve">CB_Status2[0..15] </t>
    </r>
    <r>
      <rPr>
        <sz val="10"/>
        <color rgb="FF000000"/>
        <rFont val="Noto Sans CJK SC"/>
        <family val="2"/>
      </rPr>
      <t xml:space="preserve">비트맵 </t>
    </r>
    <r>
      <rPr>
        <sz val="10"/>
        <color rgb="FF000000"/>
        <rFont val="Malgun Gothic"/>
        <family val="3"/>
        <charset val="129"/>
      </rPr>
      <t>(u16×4/frame)</t>
    </r>
  </si>
  <si>
    <t>셀별(16개) 밸런싱 상태 비트맵 2</t>
  </si>
  <si>
    <t>반복적으로 밸런싱되는 셀을 찾아 셀 용량 편차와 실제 사용 가능 에너지 모델을 보정한다.</t>
  </si>
  <si>
    <r>
      <rPr>
        <sz val="10"/>
        <color rgb="FF000000"/>
        <rFont val="Malgun Gothic"/>
        <family val="3"/>
        <charset val="129"/>
      </rPr>
      <t xml:space="preserve">CB_Status3[0..15] </t>
    </r>
    <r>
      <rPr>
        <sz val="10"/>
        <color rgb="FF000000"/>
        <rFont val="Noto Sans CJK SC"/>
        <family val="2"/>
      </rPr>
      <t xml:space="preserve">비트맵 </t>
    </r>
    <r>
      <rPr>
        <sz val="10"/>
        <color rgb="FF000000"/>
        <rFont val="Malgun Gothic"/>
        <family val="3"/>
        <charset val="129"/>
      </rPr>
      <t>(u16×4/frame)</t>
    </r>
  </si>
  <si>
    <t>셀별(16개) 밸런싱 상태 비트맵 3</t>
  </si>
  <si>
    <t>추가 밸런싱 상태를 이용해 셀 불균형과 BMS 동작을 검증한다. 실시간 속도 결정이 아닌 사후 분석용이다.</t>
  </si>
  <si>
    <t>SD_ONLY(Safety)</t>
  </si>
  <si>
    <t>SafetyAlert A/B/C, SafetyStatus A/B/C, ProtectionsTriggered, PF_ProtectionsTriggered (u8×8)</t>
  </si>
  <si>
    <t>안전회로 경보/상태(A/B/C군) 및 보호기능·영구고장 트리거 여부</t>
  </si>
  <si>
    <t>보호 활성 시 최적속도 계산보다 감속·출력 차단·정지를 우선한다. 이벤트 전후 데이터를 이용해 전략 전환 조건을 정한다.</t>
  </si>
  <si>
    <t>SD_ONLY(PF)</t>
  </si>
  <si>
    <t>PFAlert A/B/C/D, PFStatus A/B/C/D (u8×8)</t>
  </si>
  <si>
    <t>영구고장(Permanent Fail) 경보 및 상태 플래그(A~D군)</t>
  </si>
  <si>
    <t>영구고장 발생 시 출발 금지·정비·안전정지를 판단한다. 안전 데이터이므로 상관계수가 낮아도 반드시 유지한다.</t>
  </si>
  <si>
    <t>TOP</t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</si>
  <si>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스택의 고장 코드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상태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경고</t>
    </r>
    <r>
      <rPr>
        <sz val="10"/>
        <color rgb="FF000000"/>
        <rFont val="Malgun Gothic"/>
        <family val="3"/>
        <charset val="129"/>
      </rPr>
      <t>(BOT 0x500</t>
    </r>
    <r>
      <rPr>
        <sz val="10"/>
        <color rgb="FF000000"/>
        <rFont val="Noto Sans CJK SC"/>
        <family val="2"/>
      </rPr>
      <t>과 동일 구조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</si>
  <si>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스택의 보호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경고 여부를 </t>
    </r>
    <r>
      <rPr>
        <sz val="10"/>
        <color rgb="FF000000"/>
        <rFont val="Malgun Gothic"/>
        <family val="3"/>
        <charset val="129"/>
      </rPr>
      <t>BOT</t>
    </r>
    <r>
      <rPr>
        <sz val="10"/>
        <color rgb="FF000000"/>
        <rFont val="Noto Sans CJK SC"/>
        <family val="2"/>
      </rPr>
      <t>과 함께 확인하여 더 불리한 스택 기준으로 감속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출력 제한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정지를 결정한다</t>
    </r>
    <r>
      <rPr>
        <sz val="10"/>
        <color rgb="FF000000"/>
        <rFont val="Malgun Gothic"/>
        <family val="3"/>
        <charset val="129"/>
      </rPr>
      <t>.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</si>
  <si>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 전압과 팩 전압</t>
    </r>
    <r>
      <rPr>
        <sz val="10"/>
        <color rgb="FF000000"/>
        <rFont val="Malgun Gothic"/>
        <family val="3"/>
        <charset val="129"/>
      </rPr>
      <t>(mV)</t>
    </r>
  </si>
  <si>
    <r>
      <rPr>
        <sz val="10"/>
        <color rgb="FF000000"/>
        <rFont val="Malgun Gothic"/>
        <family val="3"/>
        <charset val="129"/>
      </rPr>
      <t>TOP</t>
    </r>
    <r>
      <rPr>
        <sz val="10"/>
        <color rgb="FF000000"/>
        <rFont val="Noto Sans CJK SC"/>
        <family val="2"/>
      </rPr>
      <t xml:space="preserve">과 </t>
    </r>
    <r>
      <rPr>
        <sz val="10"/>
        <color rgb="FF000000"/>
        <rFont val="Malgun Gothic"/>
        <family val="3"/>
        <charset val="129"/>
      </rPr>
      <t xml:space="preserve">BOT </t>
    </r>
    <r>
      <rPr>
        <sz val="10"/>
        <color rgb="FF000000"/>
        <rFont val="Noto Sans CJK SC"/>
        <family val="2"/>
      </rPr>
      <t xml:space="preserve">전압을 합산해 전체 </t>
    </r>
    <r>
      <rPr>
        <sz val="10"/>
        <color rgb="FF000000"/>
        <rFont val="Malgun Gothic"/>
        <family val="3"/>
        <charset val="129"/>
      </rPr>
      <t xml:space="preserve">HV </t>
    </r>
    <r>
      <rPr>
        <sz val="10"/>
        <color rgb="FF000000"/>
        <rFont val="Noto Sans CJK SC"/>
        <family val="2"/>
      </rPr>
      <t>전압과 에너지 수지를 계산한다</t>
    </r>
    <r>
      <rPr>
        <sz val="10"/>
        <color rgb="FF000000"/>
        <rFont val="Malgun Gothic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스택 간 전압 편차는 </t>
    </r>
    <r>
      <rPr>
        <sz val="10"/>
        <color rgb="FF000000"/>
        <rFont val="Malgun Gothic"/>
        <family val="3"/>
        <charset val="129"/>
      </rPr>
      <t xml:space="preserve">SOC </t>
    </r>
    <r>
      <rPr>
        <sz val="10"/>
        <color rgb="FF000000"/>
        <rFont val="Noto Sans CJK SC"/>
        <family val="2"/>
      </rPr>
      <t>불균형 및 잔여에너지 예측 오차 확인에 사용한다</t>
    </r>
    <r>
      <rPr>
        <sz val="10"/>
        <color rgb="FF000000"/>
        <rFont val="Malgun Gothic"/>
        <family val="3"/>
        <charset val="129"/>
      </rPr>
      <t>.</t>
    </r>
  </si>
  <si>
    <r>
      <rPr>
        <sz val="10"/>
        <color rgb="FF000000"/>
        <rFont val="Malgun Gothic"/>
        <family val="3"/>
        <charset val="129"/>
      </rPr>
      <t xml:space="preserve">MaxCell_Voltage(u16, mV), MinCell_Voltage(u16, mV), CellTemp(i16, 0.1℃) (Pack_Current </t>
    </r>
    <r>
      <rPr>
        <sz val="10"/>
        <color rgb="FF000000"/>
        <rFont val="Noto Sans CJK SC"/>
        <family val="2"/>
      </rPr>
      <t>없음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</si>
  <si>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스택은 전류 센서가 없어 셀 전압 최대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최소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온도만 제공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</si>
  <si>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스택의 최저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최고 셀 전압과 온도로 충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방전 및 열 한계를 판단한다</t>
    </r>
    <r>
      <rPr>
        <sz val="10"/>
        <color rgb="FF000000"/>
        <rFont val="Malgun Gothic"/>
        <family val="3"/>
        <charset val="129"/>
      </rPr>
      <t xml:space="preserve">. TOP/BOT </t>
    </r>
    <r>
      <rPr>
        <sz val="10"/>
        <color rgb="FF000000"/>
        <rFont val="Noto Sans CJK SC"/>
        <family val="2"/>
      </rPr>
      <t>중 먼저 한계에 도달하는 스택 기준으로 목표 출력 상한을 설정한다</t>
    </r>
    <r>
      <rPr>
        <sz val="10"/>
        <color rgb="FF000000"/>
        <rFont val="Malgun Gothic"/>
        <family val="3"/>
        <charset val="129"/>
      </rPr>
      <t>.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</si>
  <si>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서미스터 온도 </t>
    </r>
    <r>
      <rPr>
        <sz val="10"/>
        <color rgb="FF000000"/>
        <rFont val="Malgun Gothic"/>
        <family val="3"/>
        <charset val="129"/>
      </rPr>
      <t>4</t>
    </r>
    <r>
      <rPr>
        <sz val="10"/>
        <color rgb="FF000000"/>
        <rFont val="Noto Sans CJK SC"/>
        <family val="2"/>
      </rPr>
      <t>종</t>
    </r>
    <r>
      <rPr>
        <sz val="10"/>
        <color rgb="FF000000"/>
        <rFont val="Malgun Gothic"/>
        <family val="3"/>
        <charset val="129"/>
      </rPr>
      <t>(BOT</t>
    </r>
    <r>
      <rPr>
        <sz val="10"/>
        <color rgb="FF000000"/>
        <rFont val="Noto Sans CJK SC"/>
        <family val="2"/>
      </rPr>
      <t>과 동일 구조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</si>
  <si>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>TOP</t>
    </r>
    <r>
      <rPr>
        <sz val="10"/>
        <color rgb="FF000000"/>
        <rFont val="Noto Sans CJK SC"/>
        <family val="2"/>
      </rPr>
      <t xml:space="preserve">과 </t>
    </r>
    <r>
      <rPr>
        <sz val="10"/>
        <color rgb="FF000000"/>
        <rFont val="Malgun Gothic"/>
        <family val="3"/>
        <charset val="129"/>
      </rPr>
      <t>BOT</t>
    </r>
    <r>
      <rPr>
        <sz val="10"/>
        <color rgb="FF000000"/>
        <rFont val="Noto Sans CJK SC"/>
        <family val="2"/>
      </rPr>
      <t>의 열 상태를 비교하여 어느 스택이 먼저 열 한계에 도달하는지 예측하고 전체 팩 허용출력을 보수적으로 설정한다</t>
    </r>
    <r>
      <rPr>
        <sz val="10"/>
        <color rgb="FF000000"/>
        <rFont val="Malgun Gothic"/>
        <family val="3"/>
        <charset val="129"/>
      </rPr>
      <t>.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</si>
  <si>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</t>
    </r>
    <r>
      <rPr>
        <sz val="10"/>
        <color rgb="FF000000"/>
        <rFont val="Malgun Gothic"/>
        <family val="3"/>
        <charset val="129"/>
      </rPr>
      <t>HDQ/</t>
    </r>
    <r>
      <rPr>
        <sz val="10"/>
        <color rgb="FF000000"/>
        <rFont val="Noto Sans CJK SC"/>
        <family val="2"/>
      </rPr>
      <t>셀 온도 통계</t>
    </r>
    <r>
      <rPr>
        <sz val="10"/>
        <color rgb="FF000000"/>
        <rFont val="Malgun Gothic"/>
        <family val="3"/>
        <charset val="129"/>
      </rPr>
      <t>(BOT</t>
    </r>
    <r>
      <rPr>
        <sz val="10"/>
        <color rgb="FF000000"/>
        <rFont val="Noto Sans CJK SC"/>
        <family val="2"/>
      </rPr>
      <t>과 동일 구조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</si>
  <si>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스택의 최대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최소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평균 온도로 스택 간 열 불균형과 출력 제한 발생 시점을 예측한다</t>
    </r>
    <r>
      <rPr>
        <sz val="10"/>
        <color rgb="FF000000"/>
        <rFont val="Malgun Gothic"/>
        <family val="3"/>
        <charset val="129"/>
      </rPr>
      <t>.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</si>
  <si>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 누적 충전량 정수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소수부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</si>
  <si>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누적 쿨롱값을 </t>
    </r>
    <r>
      <rPr>
        <sz val="10"/>
        <color rgb="FF000000"/>
        <rFont val="Malgun Gothic"/>
        <family val="3"/>
        <charset val="129"/>
      </rPr>
      <t xml:space="preserve">BOT </t>
    </r>
    <r>
      <rPr>
        <sz val="10"/>
        <color rgb="FF000000"/>
        <rFont val="Noto Sans CJK SC"/>
        <family val="2"/>
      </rPr>
      <t xml:space="preserve">전류 적분과 비교해 스택별 </t>
    </r>
    <r>
      <rPr>
        <sz val="10"/>
        <color rgb="FF000000"/>
        <rFont val="Malgun Gothic"/>
        <family val="3"/>
        <charset val="129"/>
      </rPr>
      <t xml:space="preserve">SOC </t>
    </r>
    <r>
      <rPr>
        <sz val="10"/>
        <color rgb="FF000000"/>
        <rFont val="Noto Sans CJK SC"/>
        <family val="2"/>
      </rPr>
      <t>추정오차와 불균형을 확인한다</t>
    </r>
    <r>
      <rPr>
        <sz val="10"/>
        <color rgb="FF000000"/>
        <rFont val="Malgun Gothic"/>
        <family val="3"/>
        <charset val="129"/>
      </rPr>
      <t>.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</si>
  <si>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 누적 충전 시간</t>
    </r>
    <r>
      <rPr>
        <sz val="10"/>
        <color rgb="FF000000"/>
        <rFont val="Malgun Gothic"/>
        <family val="3"/>
        <charset val="129"/>
      </rPr>
      <t>/2</t>
    </r>
    <r>
      <rPr>
        <sz val="10"/>
        <color rgb="FF000000"/>
        <rFont val="Noto Sans CJK SC"/>
        <family val="2"/>
      </rPr>
      <t>차 쿨롱 카운터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</si>
  <si>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</t>
    </r>
    <r>
      <rPr>
        <sz val="10"/>
        <color rgb="FF000000"/>
        <rFont val="Malgun Gothic"/>
        <family val="3"/>
        <charset val="129"/>
      </rPr>
      <t xml:space="preserve">SOC </t>
    </r>
    <r>
      <rPr>
        <sz val="10"/>
        <color rgb="FF000000"/>
        <rFont val="Noto Sans CJK SC"/>
        <family val="2"/>
      </rPr>
      <t>계산에 사용되는 시간축과 보조 카운터의 연속성을 검증한다</t>
    </r>
    <r>
      <rPr>
        <sz val="10"/>
        <color rgb="FF000000"/>
        <rFont val="Malgun Gothic"/>
        <family val="3"/>
        <charset val="129"/>
      </rPr>
      <t>.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</si>
  <si>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쿨롱값과 전압 합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부하 감지값을 교차 검증해 </t>
    </r>
    <r>
      <rPr>
        <sz val="10"/>
        <color rgb="FF000000"/>
        <rFont val="Malgun Gothic"/>
        <family val="3"/>
        <charset val="129"/>
      </rPr>
      <t xml:space="preserve">SOC </t>
    </r>
    <r>
      <rPr>
        <sz val="10"/>
        <color rgb="FF000000"/>
        <rFont val="Noto Sans CJK SC"/>
        <family val="2"/>
      </rPr>
      <t>계산의 신뢰성을 확인한다</t>
    </r>
    <r>
      <rPr>
        <sz val="10"/>
        <color rgb="FF000000"/>
        <rFont val="Malgun Gothic"/>
        <family val="3"/>
        <charset val="129"/>
      </rPr>
      <t>.</t>
    </r>
  </si>
  <si>
    <r>
      <rPr>
        <sz val="10"/>
        <color rgb="FF000000"/>
        <rFont val="Malgun Gothic"/>
        <family val="3"/>
        <charset val="129"/>
      </rPr>
      <t>BOT</t>
    </r>
    <r>
      <rPr>
        <sz val="10"/>
        <color rgb="FF000000"/>
        <rFont val="Noto Sans CJK SC"/>
        <family val="2"/>
      </rPr>
      <t>과 동일 항목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</si>
  <si>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개별 셀 </t>
    </r>
    <r>
      <rPr>
        <sz val="10"/>
        <color rgb="FF000000"/>
        <rFont val="Malgun Gothic"/>
        <family val="3"/>
        <charset val="129"/>
      </rPr>
      <t>16</t>
    </r>
    <r>
      <rPr>
        <sz val="10"/>
        <color rgb="FF000000"/>
        <rFont val="Noto Sans CJK SC"/>
        <family val="2"/>
      </rPr>
      <t>개 전압</t>
    </r>
    <r>
      <rPr>
        <sz val="10"/>
        <color rgb="FF000000"/>
        <rFont val="Malgun Gothic"/>
        <family val="3"/>
        <charset val="129"/>
      </rPr>
      <t>(BOT</t>
    </r>
    <r>
      <rPr>
        <sz val="10"/>
        <color rgb="FF000000"/>
        <rFont val="Noto Sans CJK SC"/>
        <family val="2"/>
      </rPr>
      <t>과 동일 구조</t>
    </r>
    <r>
      <rPr>
        <sz val="10"/>
        <color rgb="FF000000"/>
        <rFont val="Malgun Gothic"/>
        <family val="3"/>
        <charset val="129"/>
      </rPr>
      <t>)</t>
    </r>
  </si>
  <si>
    <t>전체 32셀 중 최저·최고 셀을 찾아 팩의 실제 충·방전 한계와 잔여에너지를 결정한다.</t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</si>
  <si>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</t>
    </r>
    <r>
      <rPr>
        <sz val="10"/>
        <color rgb="FF000000"/>
        <rFont val="Malgun Gothic"/>
        <family val="3"/>
        <charset val="129"/>
      </rPr>
      <t xml:space="preserve">CUV </t>
    </r>
    <r>
      <rPr>
        <sz val="10"/>
        <color rgb="FF000000"/>
        <rFont val="Noto Sans CJK SC"/>
        <family val="2"/>
      </rPr>
      <t>발동 시점 셀 전압 스냅샷</t>
    </r>
  </si>
  <si>
    <r>
      <rPr>
        <sz val="10"/>
        <color rgb="FF000000"/>
        <rFont val="Malgun Gothic"/>
        <family val="3"/>
        <charset val="129"/>
      </rPr>
      <t>TOP</t>
    </r>
    <r>
      <rPr>
        <sz val="10"/>
        <color rgb="FF000000"/>
        <rFont val="Noto Sans CJK SC"/>
        <family val="2"/>
      </rPr>
      <t xml:space="preserve">과 </t>
    </r>
    <r>
      <rPr>
        <sz val="10"/>
        <color rgb="FF000000"/>
        <rFont val="Malgun Gothic"/>
        <family val="3"/>
        <charset val="129"/>
      </rPr>
      <t>BOT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Malgun Gothic"/>
        <family val="3"/>
        <charset val="129"/>
      </rPr>
      <t xml:space="preserve">CUV </t>
    </r>
    <r>
      <rPr>
        <sz val="10"/>
        <color rgb="FF000000"/>
        <rFont val="Noto Sans CJK SC"/>
        <family val="2"/>
      </rPr>
      <t xml:space="preserve">조건을 비교하여 먼저 보호되는 스택 기준으로 방전 하한과 최소 도착 </t>
    </r>
    <r>
      <rPr>
        <sz val="10"/>
        <color rgb="FF000000"/>
        <rFont val="Malgun Gothic"/>
        <family val="3"/>
        <charset val="129"/>
      </rPr>
      <t>SOC</t>
    </r>
    <r>
      <rPr>
        <sz val="10"/>
        <color rgb="FF000000"/>
        <rFont val="Noto Sans CJK SC"/>
        <family val="2"/>
      </rPr>
      <t>를 설정한다</t>
    </r>
    <r>
      <rPr>
        <sz val="10"/>
        <color rgb="FF000000"/>
        <rFont val="Malgun Gothic"/>
        <family val="3"/>
        <charset val="129"/>
      </rPr>
      <t>.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</si>
  <si>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</t>
    </r>
    <r>
      <rPr>
        <sz val="10"/>
        <color rgb="FF000000"/>
        <rFont val="Malgun Gothic"/>
        <family val="3"/>
        <charset val="129"/>
      </rPr>
      <t xml:space="preserve">COV </t>
    </r>
    <r>
      <rPr>
        <sz val="10"/>
        <color rgb="FF000000"/>
        <rFont val="Noto Sans CJK SC"/>
        <family val="2"/>
      </rPr>
      <t>발동 시점 셀 전압 스냅샷</t>
    </r>
  </si>
  <si>
    <r>
      <rPr>
        <sz val="10"/>
        <color rgb="FF000000"/>
        <rFont val="Malgun Gothic"/>
        <family val="3"/>
        <charset val="129"/>
      </rPr>
      <t xml:space="preserve">TOP/BOT COV </t>
    </r>
    <r>
      <rPr>
        <sz val="10"/>
        <color rgb="FF000000"/>
        <rFont val="Noto Sans CJK SC"/>
        <family val="2"/>
      </rPr>
      <t>조건을 비교해 전체 팩의 회생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태양광 충전 상한을 더 불리한 스택 기준으로 결정한다</t>
    </r>
    <r>
      <rPr>
        <sz val="10"/>
        <color rgb="FF000000"/>
        <rFont val="Malgun Gothic"/>
        <family val="3"/>
        <charset val="129"/>
      </rPr>
      <t>.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</si>
  <si>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밸런싱 상태 비트맵 </t>
    </r>
    <r>
      <rPr>
        <sz val="10"/>
        <color rgb="FF000000"/>
        <rFont val="Malgun Gothic"/>
        <family val="3"/>
        <charset val="129"/>
      </rPr>
      <t>1/2/3(BOT</t>
    </r>
    <r>
      <rPr>
        <sz val="10"/>
        <color rgb="FF000000"/>
        <rFont val="Noto Sans CJK SC"/>
        <family val="2"/>
      </rPr>
      <t>과 동일 구조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</si>
  <si>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TOP/BOT </t>
    </r>
    <r>
      <rPr>
        <sz val="10"/>
        <color rgb="FF000000"/>
        <rFont val="Noto Sans CJK SC"/>
        <family val="2"/>
      </rPr>
      <t xml:space="preserve">밸런싱 상태를 비교해 스택 간 불균형과 출발 </t>
    </r>
    <r>
      <rPr>
        <sz val="10"/>
        <color rgb="FF000000"/>
        <rFont val="Malgun Gothic"/>
        <family val="3"/>
        <charset val="129"/>
      </rPr>
      <t>SOC</t>
    </r>
    <r>
      <rPr>
        <sz val="10"/>
        <color rgb="FF000000"/>
        <rFont val="Noto Sans CJK SC"/>
        <family val="2"/>
      </rPr>
      <t>의 신뢰도를 평가한다</t>
    </r>
    <r>
      <rPr>
        <sz val="10"/>
        <color rgb="FF000000"/>
        <rFont val="Malgun Gothic"/>
        <family val="3"/>
        <charset val="129"/>
      </rPr>
      <t>.</t>
    </r>
  </si>
  <si>
    <t>SD_ONLY(Safety/PF)</t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</si>
  <si>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 xml:space="preserve">스택 </t>
    </r>
    <r>
      <rPr>
        <sz val="10"/>
        <color rgb="FF000000"/>
        <rFont val="Malgun Gothic"/>
        <family val="3"/>
        <charset val="129"/>
      </rPr>
      <t xml:space="preserve">Safety/PF </t>
    </r>
    <r>
      <rPr>
        <sz val="10"/>
        <color rgb="FF000000"/>
        <rFont val="Noto Sans CJK SC"/>
        <family val="2"/>
      </rPr>
      <t>경보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상태</t>
    </r>
    <r>
      <rPr>
        <sz val="10"/>
        <color rgb="FF000000"/>
        <rFont val="Malgun Gothic"/>
        <family val="3"/>
        <charset val="129"/>
      </rPr>
      <t>(BOT</t>
    </r>
    <r>
      <rPr>
        <sz val="10"/>
        <color rgb="FF000000"/>
        <rFont val="Noto Sans CJK SC"/>
        <family val="2"/>
      </rPr>
      <t>과 동일 구조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</si>
  <si>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TOP </t>
    </r>
    <r>
      <rPr>
        <sz val="10"/>
        <color rgb="FF000000"/>
        <rFont val="Noto Sans CJK SC"/>
        <family val="2"/>
      </rPr>
      <t>스택의 고장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보호 상태까지 확인하여 고장 스택을 식별하고 더 불리한 스택 기준으로 주행을 제한한다</t>
    </r>
    <r>
      <rPr>
        <sz val="10"/>
        <color rgb="FF000000"/>
        <rFont val="Malgun Gothic"/>
        <family val="3"/>
        <charset val="129"/>
      </rPr>
      <t>.</t>
    </r>
  </si>
  <si>
    <t>미정</t>
  </si>
  <si>
    <r>
      <rPr>
        <sz val="10"/>
        <color rgb="FF000000"/>
        <rFont val="Malgun Gothic"/>
        <family val="3"/>
        <charset val="129"/>
      </rPr>
      <t>CMU(</t>
    </r>
    <r>
      <rPr>
        <sz val="10"/>
        <color rgb="FF000000"/>
        <rFont val="Noto Sans CJK SC"/>
        <family val="2"/>
      </rPr>
      <t>셀 관리 유닛</t>
    </r>
    <r>
      <rPr>
        <sz val="10"/>
        <color rgb="FF000000"/>
        <rFont val="Malgun Gothic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>상태</t>
    </r>
    <r>
      <rPr>
        <sz val="10"/>
        <color rgb="FF000000"/>
        <rFont val="Malgun Gothic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개별 셀의 전압</t>
    </r>
    <r>
      <rPr>
        <sz val="10"/>
        <color rgb="FF000000"/>
        <rFont val="Malgun Gothic"/>
        <family val="3"/>
        <charset val="129"/>
      </rPr>
      <t xml:space="preserve">(mV) </t>
    </r>
    <r>
      <rPr>
        <sz val="10"/>
        <color rgb="FF000000"/>
        <rFont val="Noto Sans CJK SC"/>
        <family val="2"/>
      </rPr>
      <t>및 온도 텔레메트리</t>
    </r>
  </si>
  <si>
    <r>
      <rPr>
        <sz val="10"/>
        <color rgb="FF000000"/>
        <rFont val="Malgun Gothic"/>
        <family val="3"/>
        <charset val="129"/>
      </rPr>
      <t xml:space="preserve">LV </t>
    </r>
    <r>
      <rPr>
        <sz val="10"/>
        <color rgb="FF000000"/>
        <rFont val="Noto Sans CJK SC"/>
        <family val="2"/>
      </rPr>
      <t>셀 전압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온도와 </t>
    </r>
    <r>
      <rPr>
        <sz val="10"/>
        <color rgb="FF000000"/>
        <rFont val="Malgun Gothic"/>
        <family val="3"/>
        <charset val="129"/>
      </rPr>
      <t xml:space="preserve">CMU </t>
    </r>
    <r>
      <rPr>
        <sz val="10"/>
        <color rgb="FF000000"/>
        <rFont val="Noto Sans CJK SC"/>
        <family val="2"/>
      </rPr>
      <t xml:space="preserve">상태로 </t>
    </r>
    <r>
      <rPr>
        <sz val="10"/>
        <color rgb="FF000000"/>
        <rFont val="Malgun Gothic"/>
        <family val="3"/>
        <charset val="129"/>
      </rPr>
      <t>VCU·</t>
    </r>
    <r>
      <rPr>
        <sz val="10"/>
        <color rgb="FF000000"/>
        <rFont val="Noto Sans CJK SC"/>
        <family val="2"/>
      </rPr>
      <t>센서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통신 전원 여유를 확인하고</t>
    </r>
    <r>
      <rPr>
        <sz val="10"/>
        <color rgb="FF000000"/>
        <rFont val="Malgun Gothic"/>
        <family val="3"/>
        <charset val="129"/>
      </rPr>
      <t xml:space="preserve">, LV </t>
    </r>
    <r>
      <rPr>
        <sz val="10"/>
        <color rgb="FF000000"/>
        <rFont val="Noto Sans CJK SC"/>
        <family val="2"/>
      </rPr>
      <t>전원 저하에 따른 시스템 셧다운 위험을 판단한다</t>
    </r>
    <r>
      <rPr>
        <sz val="10"/>
        <color rgb="FF000000"/>
        <rFont val="Malgun Gothic"/>
        <family val="3"/>
        <charset val="129"/>
      </rPr>
      <t>.</t>
    </r>
  </si>
  <si>
    <t>팩 충전 상태(SoC, 소모된 Ah 및 0~100% 비율)</t>
  </si>
  <si>
    <r>
      <rPr>
        <sz val="10"/>
        <color rgb="FF000000"/>
        <rFont val="Malgun Gothic"/>
        <family val="3"/>
        <charset val="129"/>
      </rPr>
      <t>LV SOC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Malgun Gothic"/>
        <family val="3"/>
        <charset val="129"/>
      </rPr>
      <t>ΔAh</t>
    </r>
    <r>
      <rPr>
        <sz val="10"/>
        <color rgb="FF000000"/>
        <rFont val="Noto Sans CJK SC"/>
        <family val="2"/>
      </rPr>
      <t>로 보조부하의 남은 운용시간을 예측하고 장시간 정차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제어정류소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야간 운용 가능 여부를 판단한다</t>
    </r>
    <r>
      <rPr>
        <sz val="10"/>
        <color rgb="FF000000"/>
        <rFont val="Malgun Gothic"/>
        <family val="3"/>
        <charset val="129"/>
      </rPr>
      <t>.</t>
    </r>
  </si>
  <si>
    <t>밸런싱 SoC 정보</t>
  </si>
  <si>
    <r>
      <rPr>
        <sz val="10"/>
        <color rgb="FF000000"/>
        <rFont val="Malgun Gothic"/>
        <family val="3"/>
        <charset val="129"/>
      </rPr>
      <t xml:space="preserve">LV </t>
    </r>
    <r>
      <rPr>
        <sz val="10"/>
        <color rgb="FF000000"/>
        <rFont val="Noto Sans CJK SC"/>
        <family val="2"/>
      </rPr>
      <t>셀 불균형과 충전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정비 필요성을 판단한다</t>
    </r>
    <r>
      <rPr>
        <sz val="10"/>
        <color rgb="FF000000"/>
        <rFont val="Malgun Gothic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실시간 목표속도에는 직접 사용하지 않지만 출발 전 전원 신뢰성 확인에 필요하다</t>
    </r>
    <r>
      <rPr>
        <sz val="10"/>
        <color rgb="FF000000"/>
        <rFont val="Malgun Gothic"/>
        <family val="3"/>
        <charset val="129"/>
      </rPr>
      <t>.</t>
    </r>
  </si>
  <si>
    <t>충전기(Charger) 제어 정보(충전전압 오차+온도 마진+방전전압 오차+총배터리 용량&gt;충전안전 마진+방전 안전 마진)</t>
  </si>
  <si>
    <t>출발 전 LV 충전 동작·완료·오류 여부를 확인하여 경기 시작 전 보조전원 SOC를 확보한다. 주행 중 속도전략의 직접 입력은 아니다.</t>
  </si>
  <si>
    <t>프리차지(Pre-charge) 단계, 컨택터(Contactor) 상태 및 12V 시스템 전압</t>
  </si>
  <si>
    <t>구동계가 정상적으로 기동 가능한지 판단하고, 프리차지 실패·컨택터 이상·12V 저전압 시 출발 금지 또는 안전정지를 결정한다.</t>
  </si>
  <si>
    <t>전체 배터리 팩 내 최소/최대 셀 전압 값과 해당 셀이 위치한 CMU 번호</t>
  </si>
  <si>
    <t>최저 셀과 위치를 이용해 LV 셧다운을 유발할 약한 셀을 식별하고 남은 보조전원 운용시간을 보수적으로 예측한다.</t>
  </si>
  <si>
    <t>최소/최대 셀 온도 값과 해당 CMU 번호</t>
  </si>
  <si>
    <t>최고·최저 셀 온도와 위치로 LV 팩의 열 위험과 냉각 필요성을 판단하고 보조전원 지속 운용 가능성을 예측한다.</t>
  </si>
  <si>
    <t>배터리 팩 전체 전압(mV) 및 전류(mA)</t>
  </si>
  <si>
    <r>
      <rPr>
        <sz val="10"/>
        <color rgb="FF000000"/>
        <rFont val="Malgun Gothic"/>
        <family val="3"/>
        <charset val="129"/>
      </rPr>
      <t>V×I</t>
    </r>
    <r>
      <rPr>
        <sz val="10"/>
        <color rgb="FF000000"/>
        <rFont val="Noto Sans CJK SC"/>
        <family val="2"/>
      </rPr>
      <t xml:space="preserve">와 시간 적분으로 </t>
    </r>
    <r>
      <rPr>
        <sz val="10"/>
        <color rgb="FF000000"/>
        <rFont val="Malgun Gothic"/>
        <family val="3"/>
        <charset val="129"/>
      </rPr>
      <t xml:space="preserve">LV </t>
    </r>
    <r>
      <rPr>
        <sz val="10"/>
        <color rgb="FF000000"/>
        <rFont val="Noto Sans CJK SC"/>
        <family val="2"/>
      </rPr>
      <t xml:space="preserve">보조부하 소비전력과 누적 </t>
    </r>
    <r>
      <rPr>
        <sz val="10"/>
        <color rgb="FF000000"/>
        <rFont val="Malgun Gothic"/>
        <family val="3"/>
        <charset val="129"/>
      </rPr>
      <t>Wh</t>
    </r>
    <r>
      <rPr>
        <sz val="10"/>
        <color rgb="FF000000"/>
        <rFont val="Noto Sans CJK SC"/>
        <family val="2"/>
      </rPr>
      <t xml:space="preserve">를 계산하여 차량 전체 에너지 수지 및 </t>
    </r>
    <r>
      <rPr>
        <sz val="10"/>
        <color rgb="FF000000"/>
        <rFont val="Malgun Gothic"/>
        <family val="3"/>
        <charset val="129"/>
      </rPr>
      <t xml:space="preserve">SOC </t>
    </r>
    <r>
      <rPr>
        <sz val="10"/>
        <color rgb="FF000000"/>
        <rFont val="Noto Sans CJK SC"/>
        <family val="2"/>
      </rPr>
      <t>예측에 반영한다</t>
    </r>
    <r>
      <rPr>
        <sz val="10"/>
        <color rgb="FF000000"/>
        <rFont val="Malgun Gothic"/>
        <family val="3"/>
        <charset val="129"/>
      </rPr>
      <t>.</t>
    </r>
  </si>
  <si>
    <t>배터리 팩 상태 플래그(과전압, 저전압, 과온도, 측정 오류, 통신 타임아웃 등) 및 밸런싱 전압 임계값</t>
  </si>
  <si>
    <r>
      <rPr>
        <sz val="10"/>
        <color rgb="FF000000"/>
        <rFont val="Malgun Gothic"/>
        <family val="3"/>
        <charset val="129"/>
      </rPr>
      <t xml:space="preserve">LV </t>
    </r>
    <r>
      <rPr>
        <sz val="10"/>
        <color rgb="FF000000"/>
        <rFont val="Noto Sans CJK SC"/>
        <family val="2"/>
      </rPr>
      <t>전원 신뢰성과 안전 상태를 판단한다</t>
    </r>
    <r>
      <rPr>
        <sz val="10"/>
        <color rgb="FF000000"/>
        <rFont val="Malgun Gothic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오류 발생 시 출발 금지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감속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정지 여부를 결정하며 안전 데이터이므로 상관계수와 무관하게 유지한다</t>
    </r>
    <r>
      <rPr>
        <sz val="10"/>
        <color rgb="FF000000"/>
        <rFont val="Malgun Gothic"/>
        <family val="3"/>
        <charset val="129"/>
      </rPr>
      <t>.</t>
    </r>
  </si>
  <si>
    <t>팩 쿨링 팬 속도(RPM) 및 각 컴포넌트의 12V 전류 소모량</t>
  </si>
  <si>
    <t>냉각팬 및 각 전장품의 보조전력을 분리해 LV 소비전력 모델을 만들고 전체 에너지 손실을 보정한다.</t>
  </si>
  <si>
    <t>확장된 배터리 팩 상태 정보</t>
  </si>
  <si>
    <t>상세 스펙 확정 후 전원 유지·안전·소비전력과 관련된 항목만 선별하여 고장 원인 분석과 모델 보정에 사용한다.</t>
  </si>
  <si>
    <t>부트로더 데이터 전송용(해당 ID 대역은 베이스 ID 설정과 무관하게 고정 할당됨)</t>
  </si>
  <si>
    <t>펌웨어 업데이트용이므로 실시간 주행전략 및 시험 상관분석 대상에서는 제외한다. 업데이트·정비 시에만 사용한다.</t>
  </si>
  <si>
    <t>MPPT</t>
  </si>
  <si>
    <t>#1</t>
  </si>
  <si>
    <t>Input_Voltage(float, V), Input_Current(float, A)</t>
  </si>
  <si>
    <t>태양광 패널에서 들어오는 입력 전압/전류</t>
  </si>
  <si>
    <r>
      <rPr>
        <sz val="10"/>
        <color rgb="FF000000"/>
        <rFont val="Malgun Gothic"/>
        <family val="3"/>
        <charset val="129"/>
      </rPr>
      <t>Vin×Iin</t>
    </r>
    <r>
      <rPr>
        <sz val="10"/>
        <color rgb="FF000000"/>
        <rFont val="Noto Sans CJK SC"/>
        <family val="2"/>
      </rPr>
      <t>으로 패널 입력전력과 동작점을 계산한다</t>
    </r>
    <r>
      <rPr>
        <sz val="10"/>
        <color rgb="FF000000"/>
        <rFont val="Malgun Gothic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일사량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그늘 조건별 발전 가능량과 </t>
    </r>
    <r>
      <rPr>
        <sz val="10"/>
        <color rgb="FF000000"/>
        <rFont val="Malgun Gothic"/>
        <family val="3"/>
        <charset val="129"/>
      </rPr>
      <t xml:space="preserve">MPPT </t>
    </r>
    <r>
      <rPr>
        <sz val="10"/>
        <color rgb="FF000000"/>
        <rFont val="Noto Sans CJK SC"/>
        <family val="2"/>
      </rPr>
      <t>추종 성능을 평가하는 데 사용한다</t>
    </r>
    <r>
      <rPr>
        <sz val="10"/>
        <color rgb="FF000000"/>
        <rFont val="Malgun Gothic"/>
        <family val="3"/>
        <charset val="129"/>
      </rPr>
      <t>.</t>
    </r>
  </si>
  <si>
    <t>Output_Voltage(float, V), Output_Current(float, A)</t>
  </si>
  <si>
    <t>배터리 팩으로 나가는 출력 전압/전류</t>
  </si>
  <si>
    <r>
      <rPr>
        <sz val="10"/>
        <color rgb="FF000000"/>
        <rFont val="Malgun Gothic"/>
        <family val="3"/>
        <charset val="129"/>
      </rPr>
      <t>Vout×Iout</t>
    </r>
    <r>
      <rPr>
        <sz val="10"/>
        <color rgb="FF000000"/>
        <rFont val="Noto Sans CJK SC"/>
        <family val="2"/>
      </rPr>
      <t>으로 배터리에 실제 유입되는 전력과 누적 발전량</t>
    </r>
    <r>
      <rPr>
        <sz val="10"/>
        <color rgb="FF000000"/>
        <rFont val="Malgun Gothic"/>
        <family val="3"/>
        <charset val="129"/>
      </rPr>
      <t>(Wh)</t>
    </r>
    <r>
      <rPr>
        <sz val="10"/>
        <color rgb="FF000000"/>
        <rFont val="Noto Sans CJK SC"/>
        <family val="2"/>
      </rPr>
      <t>을 계산한다</t>
    </r>
    <r>
      <rPr>
        <sz val="10"/>
        <color rgb="FF000000"/>
        <rFont val="Malgun Gothic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이를 모터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보조부하 소비에서 차감해 순배터리 소비와 도착 예상 </t>
    </r>
    <r>
      <rPr>
        <sz val="10"/>
        <color rgb="FF000000"/>
        <rFont val="Malgun Gothic"/>
        <family val="3"/>
        <charset val="129"/>
      </rPr>
      <t>SOC</t>
    </r>
    <r>
      <rPr>
        <sz val="10"/>
        <color rgb="FF000000"/>
        <rFont val="Noto Sans CJK SC"/>
        <family val="2"/>
      </rPr>
      <t>를 갱신한다</t>
    </r>
    <r>
      <rPr>
        <sz val="10"/>
        <color rgb="FF000000"/>
        <rFont val="Malgun Gothic"/>
        <family val="3"/>
        <charset val="129"/>
      </rPr>
      <t>.</t>
    </r>
  </si>
  <si>
    <t>Mosfet_Temp(float, ℃), Controller_Temp(float, ℃)</t>
  </si>
  <si>
    <t>전력단 MOSFET 온도와 컨트롤러(MCU) 온도</t>
  </si>
  <si>
    <t>온도 상승에 따른 출력 저하와 보호 가능성을 반영해 앞으로 지속 가능한 태양광 충전전력을 예측한다.</t>
  </si>
  <si>
    <t>12V_Aux(float, V), 3V_Aux(float, V)</t>
  </si>
  <si>
    <t>보조 전원 레일(12V/3.3V) 전압 모니터링</t>
  </si>
  <si>
    <t>보조전원 이상으로 발생하는 센서·제어 오류를 확인한다. 직접적인 목표속도 입력은 아니며 고장 원인 분석용이다.</t>
  </si>
  <si>
    <t>MaxOutput_Voltage(float, V), MaxInput_Current(float, A)</t>
  </si>
  <si>
    <t>설정된 최대 출력전압/최대 입력전류 제한값</t>
  </si>
  <si>
    <r>
      <rPr>
        <sz val="10"/>
        <color rgb="FF000000"/>
        <rFont val="Malgun Gothic"/>
        <family val="3"/>
        <charset val="129"/>
      </rPr>
      <t>MPPT</t>
    </r>
    <r>
      <rPr>
        <sz val="10"/>
        <color rgb="FF000000"/>
        <rFont val="Noto Sans CJK SC"/>
        <family val="2"/>
      </rPr>
      <t>가 설정 한계에 걸려 실제 발전량이 제한되는지 확인하고</t>
    </r>
    <r>
      <rPr>
        <sz val="10"/>
        <color rgb="FF000000"/>
        <rFont val="Malgun Gothic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해당 제한값을 발전 예측 모델의 상한으로 사용한다</t>
    </r>
    <r>
      <rPr>
        <sz val="10"/>
        <color rgb="FF000000"/>
        <rFont val="Malgun Gothic"/>
        <family val="3"/>
        <charset val="129"/>
      </rPr>
      <t>.</t>
    </r>
  </si>
  <si>
    <t>Error_Flags(u8), Mode(u8)</t>
  </si>
  <si>
    <t>에러 코드와 동작 모드(MPPT 추종/정전압 등)</t>
  </si>
  <si>
    <r>
      <rPr>
        <sz val="10"/>
        <color rgb="FF000000"/>
        <rFont val="Malgun Gothic"/>
        <family val="3"/>
        <charset val="129"/>
      </rPr>
      <t xml:space="preserve">MPPT </t>
    </r>
    <r>
      <rPr>
        <sz val="10"/>
        <color rgb="FF000000"/>
        <rFont val="Noto Sans CJK SC"/>
        <family val="2"/>
      </rPr>
      <t>추종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정전압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오류 상태를 구분한다</t>
    </r>
    <r>
      <rPr>
        <sz val="10"/>
        <color rgb="FF000000"/>
        <rFont val="Malgun Gothic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오류 또는 비추종 구간은 정상 발전량 모델 학습에서 제외한다</t>
    </r>
    <r>
      <rPr>
        <sz val="10"/>
        <color rgb="FF000000"/>
        <rFont val="Malgun Gothic"/>
        <family val="3"/>
        <charset val="129"/>
      </rPr>
      <t>.</t>
    </r>
  </si>
  <si>
    <t>PowerConn_Voltage(float, V), PowerConn_Temp(float, ℃)</t>
  </si>
  <si>
    <t>전력 커넥터 접점 전압 및 온도(접촉 불량 감지용)</t>
  </si>
  <si>
    <t>커넥터 전압강하와 온도로 접촉손실·과열을 감지하고, 패널 입력 대비 배터리 실효출력의 차이를 보정한다.</t>
  </si>
  <si>
    <t>-</t>
  </si>
  <si>
    <t>#2</t>
  </si>
  <si>
    <r>
      <rPr>
        <sz val="10"/>
        <color rgb="FF000000"/>
        <rFont val="Malgun Gothic"/>
        <family val="3"/>
        <charset val="129"/>
      </rPr>
      <t xml:space="preserve">MPPT #2 </t>
    </r>
    <r>
      <rPr>
        <sz val="10"/>
        <color rgb="FF000000"/>
        <rFont val="Noto Sans CJK SC"/>
        <family val="2"/>
      </rPr>
      <t>채널의 동일 항목</t>
    </r>
    <r>
      <rPr>
        <sz val="10"/>
        <color rgb="FF000000"/>
        <rFont val="Malgun Gothic"/>
        <family val="3"/>
        <charset val="129"/>
      </rPr>
      <t>(</t>
    </r>
    <r>
      <rPr>
        <sz val="10"/>
        <color rgb="FF000000"/>
        <rFont val="Noto Sans CJK SC"/>
        <family val="2"/>
      </rPr>
      <t>입력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출력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온도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보조전원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제한값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에러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커넥터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</si>
  <si>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#2 </t>
    </r>
    <r>
      <rPr>
        <sz val="10"/>
        <color rgb="FF000000"/>
        <rFont val="Noto Sans CJK SC"/>
        <family val="2"/>
      </rPr>
      <t>출력전력을 총 발전량에 합산한다</t>
    </r>
    <r>
      <rPr>
        <sz val="10"/>
        <color rgb="FF000000"/>
        <rFont val="Malgun Gothic"/>
        <family val="3"/>
        <charset val="129"/>
      </rPr>
      <t>. #1·#3</t>
    </r>
    <r>
      <rPr>
        <sz val="10"/>
        <color rgb="FF000000"/>
        <rFont val="Noto Sans CJK SC"/>
        <family val="2"/>
      </rPr>
      <t>과의 편차를 이용해 부분 음영</t>
    </r>
    <r>
      <rPr>
        <sz val="10"/>
        <color rgb="FF000000"/>
        <rFont val="Malgun Gothic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패널 구역 이상</t>
    </r>
    <r>
      <rPr>
        <sz val="10"/>
        <color rgb="FF000000"/>
        <rFont val="Malgun Gothic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채널별 성능 저하를 판별한다</t>
    </r>
    <r>
      <rPr>
        <sz val="10"/>
        <color rgb="FF000000"/>
        <rFont val="Malgun Gothic"/>
        <family val="3"/>
        <charset val="129"/>
      </rPr>
      <t>.</t>
    </r>
  </si>
  <si>
    <t>#3</t>
  </si>
  <si>
    <r>
      <rPr>
        <sz val="10"/>
        <color rgb="FF000000"/>
        <rFont val="Malgun Gothic"/>
        <family val="3"/>
        <charset val="129"/>
      </rPr>
      <t xml:space="preserve">MPPT #3 </t>
    </r>
    <r>
      <rPr>
        <sz val="10"/>
        <color rgb="FF000000"/>
        <rFont val="Noto Sans CJK SC"/>
        <family val="2"/>
      </rPr>
      <t>채널의 동일 항목</t>
    </r>
    <r>
      <rPr>
        <sz val="10"/>
        <color rgb="FF000000"/>
        <rFont val="Malgun Gothic"/>
        <family val="3"/>
        <charset val="129"/>
      </rPr>
      <t>(</t>
    </r>
    <r>
      <rPr>
        <sz val="10"/>
        <color rgb="FF000000"/>
        <rFont val="Noto Sans CJK SC"/>
        <family val="2"/>
      </rPr>
      <t>입력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출력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온도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보조전원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제한값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에러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커넥터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</si>
  <si>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#3 </t>
    </r>
    <r>
      <rPr>
        <sz val="10"/>
        <color rgb="FF000000"/>
        <rFont val="Noto Sans CJK SC"/>
        <family val="2"/>
      </rPr>
      <t>출력전력을 총 발전량에 합산한다</t>
    </r>
    <r>
      <rPr>
        <sz val="10"/>
        <color rgb="FF000000"/>
        <rFont val="Malgun Gothic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채널별 발전 편차를 이용해 패널 구역별 발전 예측 모델을 보정한다</t>
    </r>
    <r>
      <rPr>
        <sz val="10"/>
        <color rgb="FF000000"/>
        <rFont val="Malgun Gothic"/>
        <family val="3"/>
        <charset val="129"/>
      </rPr>
      <t>.</t>
    </r>
  </si>
  <si>
    <t>​0x401</t>
  </si>
  <si>
    <t>Limit_Flags(u16), Error_Flags(u16), Active_Motor(u16), TxErrCnt(u8), RxErrCnt(u8)</t>
  </si>
  <si>
    <t>제한 동작 사유, 에러 코드, 활성 모터 채널, CAN 송/수신 에러 카운트</t>
  </si>
  <si>
    <t>출력 제한·오류·통신 이상 구간을 구분한다. 제한이 발생하면 목표속도를 낮추거나 정지하고, 해당 구간은 정상 효율맵 학습에서 제외한다.</t>
  </si>
  <si>
    <t>​0x402</t>
  </si>
  <si>
    <t>Bus_Voltage(float, V), Bus_Current(float, A)</t>
  </si>
  <si>
    <t>모터 컨트롤러 DC 버스 전압/전류</t>
  </si>
  <si>
    <r>
      <rPr>
        <sz val="10"/>
        <color rgb="FF000000"/>
        <rFont val="Malgun Gothic"/>
        <family val="3"/>
        <charset val="129"/>
      </rPr>
      <t>Vbus×Ibus</t>
    </r>
    <r>
      <rPr>
        <sz val="10"/>
        <color rgb="FF000000"/>
        <rFont val="Noto Sans CJK SC"/>
        <family val="2"/>
      </rPr>
      <t xml:space="preserve">로 추진계 </t>
    </r>
    <r>
      <rPr>
        <sz val="10"/>
        <color rgb="FF000000"/>
        <rFont val="Malgun Gothic"/>
        <family val="3"/>
        <charset val="129"/>
      </rPr>
      <t xml:space="preserve">DC </t>
    </r>
    <r>
      <rPr>
        <sz val="10"/>
        <color rgb="FF000000"/>
        <rFont val="Noto Sans CJK SC"/>
        <family val="2"/>
      </rPr>
      <t>전력</t>
    </r>
    <r>
      <rPr>
        <sz val="10"/>
        <color rgb="FF000000"/>
        <rFont val="Malgun Gothic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구간 소비에너지</t>
    </r>
    <r>
      <rPr>
        <sz val="10"/>
        <color rgb="FF000000"/>
        <rFont val="Malgun Gothic"/>
        <family val="3"/>
        <charset val="129"/>
      </rPr>
      <t xml:space="preserve">(Wh), Wh/km </t>
    </r>
    <r>
      <rPr>
        <sz val="10"/>
        <color rgb="FF000000"/>
        <rFont val="Noto Sans CJK SC"/>
        <family val="2"/>
      </rPr>
      <t>및 회생에너지를 계산한다</t>
    </r>
    <r>
      <rPr>
        <sz val="10"/>
        <color rgb="FF000000"/>
        <rFont val="Malgun Gothic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속도전략과 </t>
    </r>
    <r>
      <rPr>
        <sz val="10"/>
        <color rgb="FF000000"/>
        <rFont val="Malgun Gothic"/>
        <family val="3"/>
        <charset val="129"/>
      </rPr>
      <t xml:space="preserve">SOC </t>
    </r>
    <r>
      <rPr>
        <sz val="10"/>
        <color rgb="FF000000"/>
        <rFont val="Noto Sans CJK SC"/>
        <family val="2"/>
      </rPr>
      <t>예측의 핵심 입력이다</t>
    </r>
    <r>
      <rPr>
        <sz val="10"/>
        <color rgb="FF000000"/>
        <rFont val="Malgun Gothic"/>
        <family val="3"/>
        <charset val="129"/>
      </rPr>
      <t>.</t>
    </r>
  </si>
  <si>
    <t>​0x403</t>
  </si>
  <si>
    <t>Motor_Velocity(float, rpm), Vehicle_Velocity(float, m/s)</t>
  </si>
  <si>
    <t>모터 회전 속도(rpm)와 환산된 차량 속도(m/s)</t>
  </si>
  <si>
    <t>실제 차량 속도·RPM·가속도·주행시간을 계산한다. GPS·고도·경사 데이터와 매칭해 속도와 에너지 소비 관계를 만들고 목표속도 추종 여부를 확인한다.</t>
  </si>
  <si>
    <t>​0x40B</t>
  </si>
  <si>
    <t>Motor_Temp(float, ℃), HeatSink_Temp(float, ℃)</t>
  </si>
  <si>
    <t>모터 권선 온도와 히트싱크(방열판) 온도</t>
  </si>
  <si>
    <t>모터와 인버터의 온도 및 상승률로 지속 가능한 출력과 열 디레이팅 시점을 예측한다. 이후 오르막 전에 열 여유를 남기도록 목표속도를 조정한다.</t>
  </si>
  <si>
    <t>​0x40E</t>
  </si>
  <si>
    <t>Odometer(float, m), DC_Bus_AmpHours(float, Ah)</t>
  </si>
  <si>
    <t>누적 주행거리와 누적 소비 전하량(Ah)</t>
  </si>
  <si>
    <t>누적값을 차분해 구간 거리와 소비 Ah를 계산한다. Bus 전력 적분값과 비교해 Wh/km 및 SOC 예측 정확도를 검증한다.</t>
  </si>
  <si>
    <t>​0x40C</t>
  </si>
  <si>
    <t>DSP_Board_Temp(float, ℃)</t>
  </si>
  <si>
    <t>제어보드(DSP) 자체 온도</t>
  </si>
  <si>
    <t>제어보드 과열로 인한 출력 제한 가능성을 확인하고, Motor/HeatSink 온도가 정상인데 제한이 발생한 원인을 구분한다.</t>
  </si>
  <si>
    <t>​0x404</t>
  </si>
  <si>
    <t>Phase_B_Current(float, A), Phase_C_Current(float, A)</t>
  </si>
  <si>
    <t>모터 3상 중 B상/C상 전류(위상 전류)</t>
  </si>
  <si>
    <t>위상전류로 실제 토크 부하, 동손 및 상전류 불평형을 추정하여 모터 효율맵과 소비전력 모델을 보정한다.</t>
  </si>
  <si>
    <t>​0x405</t>
  </si>
  <si>
    <t>Vd(float, V), Vq(float, V)</t>
  </si>
  <si>
    <r>
      <rPr>
        <sz val="10"/>
        <color rgb="FF000000"/>
        <rFont val="Malgun Gothic"/>
        <family val="3"/>
        <charset val="129"/>
      </rPr>
      <t xml:space="preserve">dq </t>
    </r>
    <r>
      <rPr>
        <sz val="10"/>
        <color rgb="FF000000"/>
        <rFont val="Noto Sans CJK SC"/>
        <family val="2"/>
      </rPr>
      <t>좌표계 전압 성분</t>
    </r>
    <r>
      <rPr>
        <sz val="10"/>
        <color rgb="FF000000"/>
        <rFont val="Malgun Gothic"/>
        <family val="3"/>
        <charset val="129"/>
      </rPr>
      <t>(</t>
    </r>
    <r>
      <rPr>
        <sz val="10"/>
        <color rgb="FF000000"/>
        <rFont val="Noto Sans CJK SC"/>
        <family val="2"/>
      </rPr>
      <t>벡터제어용</t>
    </r>
    <r>
      <rPr>
        <sz val="10"/>
        <color rgb="FF000000"/>
        <rFont val="Malgun Gothic"/>
        <family val="3"/>
        <charset val="129"/>
      </rPr>
      <t>)</t>
    </r>
  </si>
  <si>
    <t>모터 전기적 운전점과 전압 포화·약계자 영역을 분석해 고속 구간의 효율 및 최대속도 한계를 보정한다.</t>
  </si>
  <si>
    <t>​0x406</t>
  </si>
  <si>
    <t>Id(float, A), Iq(float, A)</t>
  </si>
  <si>
    <r>
      <rPr>
        <sz val="10"/>
        <color rgb="FF000000"/>
        <rFont val="Malgun Gothic"/>
        <family val="3"/>
        <charset val="129"/>
      </rPr>
      <t xml:space="preserve">dq </t>
    </r>
    <r>
      <rPr>
        <sz val="10"/>
        <color rgb="FF000000"/>
        <rFont val="Noto Sans CJK SC"/>
        <family val="2"/>
      </rPr>
      <t>좌표계 전류 성분</t>
    </r>
    <r>
      <rPr>
        <sz val="10"/>
        <color rgb="FF000000"/>
        <rFont val="Malgun Gothic"/>
        <family val="3"/>
        <charset val="129"/>
      </rPr>
      <t>(</t>
    </r>
    <r>
      <rPr>
        <sz val="10"/>
        <color rgb="FF000000"/>
        <rFont val="Noto Sans CJK SC"/>
        <family val="2"/>
      </rPr>
      <t>벡터제어용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</si>
  <si>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>Iq</t>
    </r>
    <r>
      <rPr>
        <sz val="10"/>
        <color rgb="FF000000"/>
        <rFont val="Noto Sans CJK SC"/>
        <family val="2"/>
      </rPr>
      <t xml:space="preserve">로 토크 발생 전류를 확인하고 </t>
    </r>
    <r>
      <rPr>
        <sz val="10"/>
        <color rgb="FF000000"/>
        <rFont val="Malgun Gothic"/>
        <family val="3"/>
        <charset val="129"/>
      </rPr>
      <t>Id</t>
    </r>
    <r>
      <rPr>
        <sz val="10"/>
        <color rgb="FF000000"/>
        <rFont val="Noto Sans CJK SC"/>
        <family val="2"/>
      </rPr>
      <t>로 자속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약계자 운전을 확인하여 토크</t>
    </r>
    <r>
      <rPr>
        <sz val="10"/>
        <color rgb="FF000000"/>
        <rFont val="Malgun Gothic"/>
        <family val="3"/>
        <charset val="129"/>
      </rPr>
      <t>-</t>
    </r>
    <r>
      <rPr>
        <sz val="10"/>
        <color rgb="FF000000"/>
        <rFont val="Noto Sans CJK SC"/>
        <family val="2"/>
      </rPr>
      <t>전류 관계와 모터 효율모델을 보정한다</t>
    </r>
    <r>
      <rPr>
        <sz val="10"/>
        <color rgb="FF000000"/>
        <rFont val="Malgun Gothic"/>
        <family val="3"/>
        <charset val="129"/>
      </rPr>
      <t>.</t>
    </r>
  </si>
  <si>
    <t>​0x407</t>
  </si>
  <si>
    <t>BEMFd(float, V), BEMFq(float, V)</t>
  </si>
  <si>
    <t>역기전력(Back-EMF)의 d축/q축 성분</t>
  </si>
  <si>
    <t>역기전력과 RPM 관계로 모터 상수와 속도별 전압 여유를 검증하고, 고속에서 가능한 최대 토크와 속도 상한을 예측한다.</t>
  </si>
  <si>
    <t>​0x408</t>
  </si>
  <si>
    <r>
      <rPr>
        <sz val="10"/>
        <color rgb="FF000000"/>
        <rFont val="Malgun Gothic"/>
        <family val="3"/>
        <charset val="129"/>
      </rPr>
      <t xml:space="preserve">15V </t>
    </r>
    <r>
      <rPr>
        <sz val="10"/>
        <color rgb="FF000000"/>
        <rFont val="Noto Sans CJK SC"/>
        <family val="2"/>
      </rPr>
      <t>레일</t>
    </r>
    <r>
      <rPr>
        <sz val="10"/>
        <color rgb="FF000000"/>
        <rFont val="Malgun Gothic"/>
        <family val="3"/>
        <charset val="129"/>
      </rPr>
      <t>(float, V) (byte 0~3 Reserved)</t>
    </r>
  </si>
  <si>
    <t>내부 15V 보조 전원 레일 전압</t>
  </si>
  <si>
    <t>게이트 드라이브 보조전원 이상 여부를 확인해 비정상 출력 제한과 인버터 고장 원인을 분석한다. 실시간 목표속도 입력은 아니다.</t>
  </si>
  <si>
    <t>​0x409</t>
  </si>
  <si>
    <r>
      <rPr>
        <sz val="10"/>
        <color rgb="FF000000"/>
        <rFont val="Malgun Gothic"/>
        <family val="3"/>
        <charset val="129"/>
      </rPr>
      <t xml:space="preserve">3.3V </t>
    </r>
    <r>
      <rPr>
        <sz val="10"/>
        <color rgb="FF000000"/>
        <rFont val="Noto Sans CJK SC"/>
        <family val="2"/>
      </rPr>
      <t>레일</t>
    </r>
    <r>
      <rPr>
        <sz val="10"/>
        <color rgb="FF000000"/>
        <rFont val="Malgun Gothic"/>
        <family val="3"/>
        <charset val="129"/>
      </rPr>
      <t xml:space="preserve">(float, V), 1.9V </t>
    </r>
    <r>
      <rPr>
        <sz val="10"/>
        <color rgb="FF000000"/>
        <rFont val="Noto Sans CJK SC"/>
        <family val="2"/>
      </rPr>
      <t>레일</t>
    </r>
    <r>
      <rPr>
        <sz val="10"/>
        <color rgb="FF000000"/>
        <rFont val="Malgun Gothic"/>
        <family val="3"/>
        <charset val="129"/>
      </rPr>
      <t>(float, V)</t>
    </r>
  </si>
  <si>
    <t>내부 로직 전원 레일(3.3V, 1.9V) 전압</t>
  </si>
  <si>
    <t>내부 로직 전원 이상으로 인한 센서·통신·제어 오류를 판별한다. 고장 이벤트 분석용으로 유지한다.</t>
  </si>
  <si>
    <t>​0x417</t>
  </si>
  <si>
    <t>Slip_Speed(float, Hz) (byte 0~3 Reserved)</t>
  </si>
  <si>
    <t>유도전동기 슬립 속도(동기속도-회전속도 차이)</t>
  </si>
  <si>
    <t>유도전동기 사용 시 토크·효율 모델 보정에 활용한다. 실제 차량 모터가 영구자석형이면 주행전략 데이터에서 제외할 수 있다.</t>
  </si>
  <si>
    <t>🟠 잠정(VCU 미확정) · 소계 13개 CAN ID</t>
  </si>
  <si>
    <r>
      <rPr>
        <sz val="9"/>
        <color rgb="FF555555"/>
        <rFont val="Malgun Gothic"/>
        <family val="3"/>
        <charset val="129"/>
      </rPr>
      <t>Motor</t>
    </r>
    <r>
      <rPr>
        <sz val="9"/>
        <color rgb="FF555555"/>
        <rFont val="Noto Sans CJK SC"/>
        <family val="2"/>
      </rPr>
      <t xml:space="preserve">는 실제 </t>
    </r>
    <r>
      <rPr>
        <sz val="9"/>
        <color rgb="FF555555"/>
        <rFont val="Malgun Gothic"/>
        <family val="3"/>
        <charset val="129"/>
      </rPr>
      <t>VCU</t>
    </r>
    <r>
      <rPr>
        <sz val="9"/>
        <color rgb="FF555555"/>
        <rFont val="Noto Sans CJK SC"/>
        <family val="2"/>
      </rPr>
      <t xml:space="preserve">가 미확정 상태라 </t>
    </r>
    <r>
      <rPr>
        <sz val="9"/>
        <color rgb="FF555555"/>
        <rFont val="Malgun Gothic"/>
        <family val="3"/>
        <charset val="129"/>
      </rPr>
      <t xml:space="preserve">WaveSculptor22 </t>
    </r>
    <r>
      <rPr>
        <sz val="9"/>
        <color rgb="FF555555"/>
        <rFont val="Noto Sans CJK SC"/>
        <family val="2"/>
      </rPr>
      <t xml:space="preserve">매뉴얼 기반 </t>
    </r>
    <r>
      <rPr>
        <sz val="9"/>
        <color rgb="FF555555"/>
        <rFont val="Malgun Gothic"/>
        <family val="3"/>
        <charset val="129"/>
      </rPr>
      <t xml:space="preserve">placeholder ID(base 0x400 </t>
    </r>
    <r>
      <rPr>
        <sz val="9"/>
        <color rgb="FF555555"/>
        <rFont val="Noto Sans CJK SC"/>
        <family val="2"/>
      </rPr>
      <t>가정</t>
    </r>
    <r>
      <rPr>
        <sz val="9"/>
        <color rgb="FF555555"/>
        <rFont val="Malgun Gothic"/>
        <family val="3"/>
        <charset val="129"/>
      </rPr>
      <t>)</t>
    </r>
    <r>
      <rPr>
        <sz val="9"/>
        <color rgb="FF555555"/>
        <rFont val="Noto Sans CJK SC"/>
        <family val="2"/>
      </rPr>
      <t>로 수신 중이며</t>
    </r>
    <r>
      <rPr>
        <sz val="9"/>
        <color rgb="FF555555"/>
        <rFont val="Malgun Gothic"/>
        <family val="3"/>
        <charset val="129"/>
      </rPr>
      <t xml:space="preserve">, VCU </t>
    </r>
    <r>
      <rPr>
        <sz val="9"/>
        <color rgb="FF555555"/>
        <rFont val="Noto Sans CJK SC"/>
        <family val="2"/>
      </rPr>
      <t xml:space="preserve">스펙 확정 시 </t>
    </r>
    <r>
      <rPr>
        <sz val="9"/>
        <color rgb="FF555555"/>
        <rFont val="Malgun Gothic"/>
        <family val="3"/>
        <charset val="129"/>
      </rPr>
      <t>ID·</t>
    </r>
    <r>
      <rPr>
        <sz val="9"/>
        <color rgb="FF555555"/>
        <rFont val="Noto Sans CJK SC"/>
        <family val="2"/>
      </rPr>
      <t>엔디안</t>
    </r>
    <r>
      <rPr>
        <sz val="9"/>
        <color rgb="FF555555"/>
        <rFont val="Malgun Gothic"/>
        <family val="3"/>
        <charset val="129"/>
      </rPr>
      <t>·</t>
    </r>
    <r>
      <rPr>
        <sz val="9"/>
        <color rgb="FF555555"/>
        <rFont val="Noto Sans CJK SC"/>
        <family val="2"/>
      </rPr>
      <t>레이아웃 전면 교체 예정</t>
    </r>
  </si>
  <si>
    <t>※ 파란색 배경 행(0x401/0x402)은 디스플레이(계기장치) 표시 항목에서 사용하는 CAN 데이터다. 자세한 내용은 "디스플레이 표시" 시트 참고.</t>
  </si>
  <si>
    <t>대분류</t>
  </si>
  <si>
    <r>
      <rPr>
        <b/>
        <sz val="10"/>
        <color rgb="FFFFFFFF"/>
        <rFont val="맑은 고딕"/>
        <family val="3"/>
        <charset val="129"/>
      </rPr>
      <t xml:space="preserve">CAN ID </t>
    </r>
    <r>
      <rPr>
        <b/>
        <sz val="10"/>
        <color rgb="FFFFFFFF"/>
        <rFont val="Noto Sans CJK SC"/>
        <family val="2"/>
      </rPr>
      <t>개수</t>
    </r>
  </si>
  <si>
    <t>상태</t>
  </si>
  <si>
    <t>BMS(HV)</t>
  </si>
  <si>
    <t>Motor</t>
  </si>
  <si>
    <t>🟠 잠정(VCU 미확정)</t>
  </si>
  <si>
    <t>BMS(LV)</t>
  </si>
  <si>
    <t>합계</t>
  </si>
  <si>
    <t>테스트 주행 후 데이터 선별 기준</t>
  </si>
  <si>
    <t>시험 전에는 모든 CAN 신호를 저장한다. 시험이 끝난 뒤 실제 주행 결과와 비교해 PRIMARY·DETAIL·SD_ONLY·제외 여부를 정한다.</t>
  </si>
  <si>
    <r>
      <rPr>
        <b/>
        <sz val="11"/>
        <color rgb="FFFFFFFF"/>
        <rFont val="맑은 고딕"/>
        <family val="3"/>
        <charset val="129"/>
      </rPr>
      <t xml:space="preserve">1. </t>
    </r>
    <r>
      <rPr>
        <b/>
        <sz val="11"/>
        <color rgb="FFFFFFFF"/>
        <rFont val="Noto Sans CJK SC"/>
        <family val="2"/>
      </rPr>
      <t>무엇과 비교할 것인가</t>
    </r>
  </si>
  <si>
    <t>분석 대상</t>
  </si>
  <si>
    <t>비교 기준</t>
  </si>
  <si>
    <t>주행전략에서 확인할 내용</t>
  </si>
  <si>
    <t>배터리·모터 전력</t>
  </si>
  <si>
    <t>Pack V×I, Bus V×I, Wh/km, ΔSOC/km</t>
  </si>
  <si>
    <t>현재 속도를 유지했을 때 소비 에너지와 Control Stop 도착 SOC를 예측한다.</t>
  </si>
  <si>
    <r>
      <rPr>
        <b/>
        <sz val="10"/>
        <color rgb="FF1F1F1F"/>
        <rFont val="맑은 고딕"/>
        <family val="3"/>
        <charset val="129"/>
      </rPr>
      <t xml:space="preserve">MPPT </t>
    </r>
    <r>
      <rPr>
        <b/>
        <sz val="10"/>
        <color rgb="FF1F1F1F"/>
        <rFont val="Noto Sans CJK SC"/>
        <family val="2"/>
      </rPr>
      <t>발전량</t>
    </r>
  </si>
  <si>
    <r>
      <rPr>
        <sz val="10"/>
        <color rgb="FF1F1F1F"/>
        <rFont val="맑은 고딕"/>
        <family val="3"/>
        <charset val="129"/>
      </rPr>
      <t xml:space="preserve">MPPT </t>
    </r>
    <r>
      <rPr>
        <sz val="10"/>
        <color rgb="FF1F1F1F"/>
        <rFont val="Noto Sans CJK SC"/>
        <family val="2"/>
      </rPr>
      <t>출력전력</t>
    </r>
    <r>
      <rPr>
        <sz val="10"/>
        <color rgb="FF1F1F1F"/>
        <rFont val="맑은 고딕"/>
        <family val="3"/>
        <charset val="129"/>
      </rPr>
      <t xml:space="preserve">, </t>
    </r>
    <r>
      <rPr>
        <sz val="10"/>
        <color rgb="FF1F1F1F"/>
        <rFont val="Noto Sans CJK SC"/>
        <family val="2"/>
      </rPr>
      <t>누적 발전량</t>
    </r>
    <r>
      <rPr>
        <sz val="10"/>
        <color rgb="FF1F1F1F"/>
        <rFont val="맑은 고딕"/>
        <family val="3"/>
        <charset val="129"/>
      </rPr>
      <t xml:space="preserve">(Wh), </t>
    </r>
    <r>
      <rPr>
        <sz val="10"/>
        <color rgb="FF1F1F1F"/>
        <rFont val="Noto Sans CJK SC"/>
        <family val="2"/>
      </rPr>
      <t>배터리 순전력</t>
    </r>
  </si>
  <si>
    <t>태양광이 소비전력을 얼마나 보완하는지 확인하고 목표속도 계산에 반영한다.</t>
  </si>
  <si>
    <t>속도·주행 상태</t>
  </si>
  <si>
    <t>차속, RPM, 가속도, 경사도, 목표속도 오차</t>
  </si>
  <si>
    <t>정속·가속·오르막·내리막별 요구전력과 실제 차량 반응을 비교한다.</t>
  </si>
  <si>
    <t>전압·온도</t>
  </si>
  <si>
    <t>최소 셀 전압, 셀 편차, 부하 전압강하, 온도 상승률</t>
  </si>
  <si>
    <t>출력 제한이 시작될 조건과 현재 출력을 지속할 수 있는 시간을 판단한다.</t>
  </si>
  <si>
    <t>고장·보호 상태</t>
  </si>
  <si>
    <t>Fault, Alarm, Protection, Limit, CAN Error</t>
  </si>
  <si>
    <t>상관계수와 관계없이 유지한다. 사고·보호 개입 당시 원인을 확인하는 데이터다.</t>
  </si>
  <si>
    <r>
      <rPr>
        <b/>
        <sz val="11"/>
        <color rgb="FFFFFFFF"/>
        <rFont val="맑은 고딕"/>
        <family val="3"/>
        <charset val="129"/>
      </rPr>
      <t xml:space="preserve">2. </t>
    </r>
    <r>
      <rPr>
        <b/>
        <sz val="11"/>
        <color rgb="FFFFFFFF"/>
        <rFont val="Noto Sans CJK SC"/>
        <family val="2"/>
      </rPr>
      <t>분석 순서</t>
    </r>
  </si>
  <si>
    <t>순서</t>
  </si>
  <si>
    <t>실제 작업</t>
  </si>
  <si>
    <t>1</t>
  </si>
  <si>
    <r>
      <rPr>
        <sz val="10"/>
        <color rgb="FF1F1F1F"/>
        <rFont val="맑은 고딕"/>
        <family val="3"/>
        <charset val="129"/>
      </rPr>
      <t>CAN·GPS·</t>
    </r>
    <r>
      <rPr>
        <sz val="10"/>
        <color rgb="FF1F1F1F"/>
        <rFont val="Noto Sans CJK SC"/>
        <family val="2"/>
      </rPr>
      <t>고도</t>
    </r>
    <r>
      <rPr>
        <sz val="10"/>
        <color rgb="FF1F1F1F"/>
        <rFont val="맑은 고딕"/>
        <family val="3"/>
        <charset val="129"/>
      </rPr>
      <t>·</t>
    </r>
    <r>
      <rPr>
        <sz val="10"/>
        <color rgb="FF1F1F1F"/>
        <rFont val="Noto Sans CJK SC"/>
        <family val="2"/>
      </rPr>
      <t xml:space="preserve">기상 데이터를 같은 시간축으로 맞추고 </t>
    </r>
    <r>
      <rPr>
        <sz val="10"/>
        <color rgb="FF1F1F1F"/>
        <rFont val="맑은 고딕"/>
        <family val="3"/>
        <charset val="129"/>
      </rPr>
      <t xml:space="preserve">100 ms </t>
    </r>
    <r>
      <rPr>
        <sz val="10"/>
        <color rgb="FF1F1F1F"/>
        <rFont val="Noto Sans CJK SC"/>
        <family val="2"/>
      </rPr>
      <t xml:space="preserve">또는 </t>
    </r>
    <r>
      <rPr>
        <sz val="10"/>
        <color rgb="FF1F1F1F"/>
        <rFont val="맑은 고딕"/>
        <family val="3"/>
        <charset val="129"/>
      </rPr>
      <t xml:space="preserve">1 s </t>
    </r>
    <r>
      <rPr>
        <sz val="10"/>
        <color rgb="FF1F1F1F"/>
        <rFont val="Noto Sans CJK SC"/>
        <family val="2"/>
      </rPr>
      <t>단위로 정리한다</t>
    </r>
    <r>
      <rPr>
        <sz val="10"/>
        <color rgb="FF1F1F1F"/>
        <rFont val="맑은 고딕"/>
        <family val="3"/>
        <charset val="129"/>
      </rPr>
      <t>.</t>
    </r>
  </si>
  <si>
    <t>2</t>
  </si>
  <si>
    <r>
      <rPr>
        <sz val="10"/>
        <color rgb="FF1F1F1F"/>
        <rFont val="맑은 고딕"/>
        <family val="3"/>
        <charset val="129"/>
      </rPr>
      <t xml:space="preserve">Pack </t>
    </r>
    <r>
      <rPr>
        <sz val="10"/>
        <color rgb="FF1F1F1F"/>
        <rFont val="Noto Sans CJK SC"/>
        <family val="2"/>
      </rPr>
      <t>전력</t>
    </r>
    <r>
      <rPr>
        <sz val="10"/>
        <color rgb="FF1F1F1F"/>
        <rFont val="맑은 고딕"/>
        <family val="3"/>
        <charset val="129"/>
      </rPr>
      <t xml:space="preserve">, Motor </t>
    </r>
    <r>
      <rPr>
        <sz val="10"/>
        <color rgb="FF1F1F1F"/>
        <rFont val="Noto Sans CJK SC"/>
        <family val="2"/>
      </rPr>
      <t>전력</t>
    </r>
    <r>
      <rPr>
        <sz val="10"/>
        <color rgb="FF1F1F1F"/>
        <rFont val="맑은 고딕"/>
        <family val="3"/>
        <charset val="129"/>
      </rPr>
      <t xml:space="preserve">, MPPT </t>
    </r>
    <r>
      <rPr>
        <sz val="10"/>
        <color rgb="FF1F1F1F"/>
        <rFont val="Noto Sans CJK SC"/>
        <family val="2"/>
      </rPr>
      <t>발전량</t>
    </r>
    <r>
      <rPr>
        <sz val="10"/>
        <color rgb="FF1F1F1F"/>
        <rFont val="맑은 고딕"/>
        <family val="3"/>
        <charset val="129"/>
      </rPr>
      <t xml:space="preserve">, Wh/km, ΔSOC/km, </t>
    </r>
    <r>
      <rPr>
        <sz val="10"/>
        <color rgb="FF1F1F1F"/>
        <rFont val="Noto Sans CJK SC"/>
        <family val="2"/>
      </rPr>
      <t>셀 전압 편차</t>
    </r>
    <r>
      <rPr>
        <sz val="10"/>
        <color rgb="FF1F1F1F"/>
        <rFont val="맑은 고딕"/>
        <family val="3"/>
        <charset val="129"/>
      </rPr>
      <t xml:space="preserve">, </t>
    </r>
    <r>
      <rPr>
        <sz val="10"/>
        <color rgb="FF1F1F1F"/>
        <rFont val="Noto Sans CJK SC"/>
        <family val="2"/>
      </rPr>
      <t>온도 상승률을 계산한다</t>
    </r>
    <r>
      <rPr>
        <sz val="10"/>
        <color rgb="FF1F1F1F"/>
        <rFont val="맑은 고딕"/>
        <family val="3"/>
        <charset val="129"/>
      </rPr>
      <t>.</t>
    </r>
  </si>
  <si>
    <t>3</t>
  </si>
  <si>
    <t>정차·가속·정속·오르막·내리막·회생제동 구간을 나눠 서로 다른 주행 상태가 섞이지 않게 한다.</t>
  </si>
  <si>
    <t>4</t>
  </si>
  <si>
    <t>각 신호와 기준값 사이의 Pearson r, Spearman ρ를 함께 계산한다. 온도·SOC는 시차를 두고 다시 확인한다.</t>
  </si>
  <si>
    <t>5</t>
  </si>
  <si>
    <t>여러 번의 시험에서 같은 방향의 결과가 반복되는지 확인한 뒤 전송·저장 우선순위를 정한다.</t>
  </si>
  <si>
    <r>
      <rPr>
        <b/>
        <sz val="11"/>
        <color rgb="FFFFFFFF"/>
        <rFont val="맑은 고딕"/>
        <family val="3"/>
        <charset val="129"/>
      </rPr>
      <t xml:space="preserve">3. Pearson·Spearman </t>
    </r>
    <r>
      <rPr>
        <b/>
        <sz val="11"/>
        <color rgb="FFFFFFFF"/>
        <rFont val="Noto Sans CJK SC"/>
        <family val="2"/>
      </rPr>
      <t>해석 기준</t>
    </r>
  </si>
  <si>
    <t>항목</t>
  </si>
  <si>
    <t>보는 관계</t>
  </si>
  <si>
    <t>사용 방법</t>
  </si>
  <si>
    <t>Pearson r</t>
  </si>
  <si>
    <t>직선에 가까운 선형 관계</t>
  </si>
  <si>
    <t>속도·경사·전류와 Wh/km처럼 값의 크기가 비례하는 관계를 확인한다.</t>
  </si>
  <si>
    <t>Spearman ρ</t>
  </si>
  <si>
    <t>증가·감소 방향이 일정한 관계</t>
  </si>
  <si>
    <t>직선은 아니어도 값이 커질수록 결과가 계속 커지거나 작아지는지를 확인한다.</t>
  </si>
  <si>
    <t>시차 확인</t>
  </si>
  <si>
    <t>원인 이후 늦게 나타나는 관계</t>
  </si>
  <si>
    <t>온도와 SOC는 1·5·10·30·60초 뒤 값을 비교해 가장 큰 계수를 기록한다.</t>
  </si>
  <si>
    <t>판정용 내부 기준: |r| 또는 |ρ| ≥ 0.60 → 유지 우선 / 0.30~0.60 → 조건·시차 재검토 / &lt; 0.30 → 삭제 후보 검토</t>
  </si>
  <si>
    <t>계수가 낮아도 안전·고장·보호·제어에 필요한 신호는 삭제하지 않는다. 계수는 선별 기준일 뿐 인과관계를 증명하는 값은 아니다.</t>
  </si>
  <si>
    <r>
      <rPr>
        <b/>
        <sz val="11"/>
        <color rgb="FFFFFFFF"/>
        <rFont val="맑은 고딕"/>
        <family val="3"/>
        <charset val="129"/>
      </rPr>
      <t xml:space="preserve">4. </t>
    </r>
    <r>
      <rPr>
        <b/>
        <sz val="11"/>
        <color rgb="FFFFFFFF"/>
        <rFont val="Noto Sans CJK SC"/>
        <family val="2"/>
      </rPr>
      <t>최종 분류 기준</t>
    </r>
  </si>
  <si>
    <t>분류</t>
  </si>
  <si>
    <t>판정 기준</t>
  </si>
  <si>
    <t>처리</t>
  </si>
  <si>
    <t>무조건 유지</t>
  </si>
  <si>
    <t>안전·고장·보호·컨택터·프리차지·통신 오류 또는 제어에 직접 필요한 신호</t>
  </si>
  <si>
    <r>
      <rPr>
        <sz val="10"/>
        <color rgb="FF1F1F1F"/>
        <rFont val="맑은 고딕"/>
        <family val="3"/>
        <charset val="129"/>
      </rPr>
      <t xml:space="preserve">PRIMARY </t>
    </r>
    <r>
      <rPr>
        <sz val="10"/>
        <color rgb="FF1F1F1F"/>
        <rFont val="Noto Sans CJK SC"/>
        <family val="2"/>
      </rPr>
      <t xml:space="preserve">또는 </t>
    </r>
    <r>
      <rPr>
        <sz val="10"/>
        <color rgb="FF1F1F1F"/>
        <rFont val="맑은 고딕"/>
        <family val="3"/>
        <charset val="129"/>
      </rPr>
      <t>SD_ONLY</t>
    </r>
  </si>
  <si>
    <r>
      <rPr>
        <sz val="10"/>
        <color rgb="FF1F1F1F"/>
        <rFont val="맑은 고딕"/>
        <family val="3"/>
        <charset val="129"/>
      </rPr>
      <t>SOC·</t>
    </r>
    <r>
      <rPr>
        <sz val="10"/>
        <color rgb="FF1F1F1F"/>
        <rFont val="Noto Sans CJK SC"/>
        <family val="2"/>
      </rPr>
      <t>에너지</t>
    </r>
    <r>
      <rPr>
        <sz val="10"/>
        <color rgb="FF1F1F1F"/>
        <rFont val="맑은 고딕"/>
        <family val="3"/>
        <charset val="129"/>
      </rPr>
      <t>·</t>
    </r>
    <r>
      <rPr>
        <sz val="10"/>
        <color rgb="FF1F1F1F"/>
        <rFont val="Noto Sans CJK SC"/>
        <family val="2"/>
      </rPr>
      <t>속도</t>
    </r>
    <r>
      <rPr>
        <sz val="10"/>
        <color rgb="FF1F1F1F"/>
        <rFont val="맑은 고딕"/>
        <family val="3"/>
        <charset val="129"/>
      </rPr>
      <t>·</t>
    </r>
    <r>
      <rPr>
        <sz val="10"/>
        <color rgb="FF1F1F1F"/>
        <rFont val="Noto Sans CJK SC"/>
        <family val="2"/>
      </rPr>
      <t>출력 제한 판단에 직접 쓰이며 반복 시험에서 관계가 확인된 신호</t>
    </r>
  </si>
  <si>
    <t>실시간 전송</t>
  </si>
  <si>
    <t>특정 조건이나 시차에서 의미가 있거나 모델 보정에 필요한 신호</t>
  </si>
  <si>
    <t>저주기 전송</t>
  </si>
  <si>
    <t>실시간 전략에는 필요 없지만 고장 복원·모델 검증에 필요한 신호</t>
  </si>
  <si>
    <t>차량 내부 저장</t>
  </si>
  <si>
    <t>제외 후보</t>
  </si>
  <si>
    <r>
      <rPr>
        <sz val="10"/>
        <color rgb="FF1F1F1F"/>
        <rFont val="맑은 고딕"/>
        <family val="3"/>
        <charset val="129"/>
      </rPr>
      <t>3</t>
    </r>
    <r>
      <rPr>
        <sz val="10"/>
        <color rgb="FF1F1F1F"/>
        <rFont val="Noto Sans CJK SC"/>
        <family val="2"/>
      </rPr>
      <t>회 이상 시험에서 계수가 낮고 조건</t>
    </r>
    <r>
      <rPr>
        <sz val="10"/>
        <color rgb="FF1F1F1F"/>
        <rFont val="맑은 고딕"/>
        <family val="3"/>
        <charset val="129"/>
      </rPr>
      <t>·</t>
    </r>
    <r>
      <rPr>
        <sz val="10"/>
        <color rgb="FF1F1F1F"/>
        <rFont val="Noto Sans CJK SC"/>
        <family val="2"/>
      </rPr>
      <t>시차 효과가 없으며 다른 신호와 중복되는 비필수 신호</t>
    </r>
  </si>
  <si>
    <t>최종 검토 후 제외</t>
  </si>
  <si>
    <t>WSC_DriveEff_Project 연계 데이터 정리</t>
  </si>
  <si>
    <t>CAN 수신 데이터 → 주행효율 시뮬레이션(app.py / Vehicle_Function.py / mpc_controller.py) 입력·검증 매핑 · 작성 기준 2026-07-11</t>
  </si>
  <si>
    <r>
      <rPr>
        <b/>
        <sz val="11"/>
        <color rgb="FFFFFFFF"/>
        <rFont val="맑은 고딕"/>
        <family val="3"/>
        <charset val="129"/>
      </rPr>
      <t xml:space="preserve">■ 1. </t>
    </r>
    <r>
      <rPr>
        <b/>
        <sz val="11"/>
        <color rgb="FFFFFFFF"/>
        <rFont val="Noto Sans CJK SC"/>
        <family val="2"/>
      </rPr>
      <t>프로젝트 개요</t>
    </r>
  </si>
  <si>
    <t>목적</t>
  </si>
  <si>
    <t xml:space="preserve">2027 BWSC(다윈→애들레이드, 3,038km) 완주를 목표로 SOC·경사·일사량·에너지 예산·풍향·전방 일사량 추세(look-ahead)를 반영해 구간별 권장 목표속도를 산출하는 규칙 기반 MPC(LV1~LV7) 주행전략 시뮬레이터. </t>
  </si>
  <si>
    <t>현재 상태</t>
  </si>
  <si>
    <t>시뮬레이션 엔진(Functions/Vehicle_Function.py)과 MPC(mpc/mpc_controller.py)는 완성되어 평균 63~64km/h로 완주 가능함을 확인했다. 단, 모든 입력값은 실측 CAN 텔레메트리가 아니라 설계 가정값(Configs/Vehicle_Params.py)과 2017~2025년 과거 평균 기상데이터(Environment/Open_Meteo_API.py)로 구성되어 있다.</t>
  </si>
  <si>
    <r>
      <rPr>
        <b/>
        <sz val="11"/>
        <color rgb="FFFFFFFF"/>
        <rFont val="맑은 고딕"/>
        <family val="3"/>
        <charset val="129"/>
      </rPr>
      <t xml:space="preserve">■ 2. </t>
    </r>
    <r>
      <rPr>
        <b/>
        <sz val="11"/>
        <color rgb="FFFFFFFF"/>
        <rFont val="Noto Sans CJK SC"/>
        <family val="2"/>
      </rPr>
      <t xml:space="preserve">시뮬레이션 변수 ↔ </t>
    </r>
    <r>
      <rPr>
        <b/>
        <sz val="11"/>
        <color rgb="FFFFFFFF"/>
        <rFont val="맑은 고딕"/>
        <family val="3"/>
        <charset val="129"/>
      </rPr>
      <t xml:space="preserve">CAN </t>
    </r>
    <r>
      <rPr>
        <b/>
        <sz val="11"/>
        <color rgb="FFFFFFFF"/>
        <rFont val="Noto Sans CJK SC"/>
        <family val="2"/>
      </rPr>
      <t>데이터 매핑</t>
    </r>
  </si>
  <si>
    <t>시뮬레이션 변수 / 모델</t>
  </si>
  <si>
    <t>현재 소스(코드 · 가정값)</t>
  </si>
  <si>
    <t>대응 CAN 데이터(시트 · ID)</t>
  </si>
  <si>
    <t>연동 목적 / 이유</t>
  </si>
  <si>
    <t>우선순위</t>
  </si>
  <si>
    <t>전력</t>
  </si>
  <si>
    <r>
      <rPr>
        <sz val="10"/>
        <color rgb="FF000000"/>
        <rFont val="Malgun Gothic"/>
        <family val="3"/>
        <charset val="129"/>
      </rPr>
      <t>P_batt (</t>
    </r>
    <r>
      <rPr>
        <sz val="10"/>
        <color rgb="FF000000"/>
        <rFont val="Noto Sans CJK SC"/>
        <family val="2"/>
      </rPr>
      <t>배터리 소비전력</t>
    </r>
    <r>
      <rPr>
        <sz val="10"/>
        <color rgb="FF000000"/>
        <rFont val="Malgun Gothic"/>
        <family val="3"/>
        <charset val="129"/>
      </rPr>
      <t>) — cal_drive_res()</t>
    </r>
  </si>
  <si>
    <t>공력·구름·경사·가속저항 물리식으로 매 구간 추정</t>
  </si>
  <si>
    <t>모델이 추정한 구간 소비전력을 실측 Pack·Bus 전력과 비교해 Cd·Crr·Drive_eff 등 저항계수를 보정한다</t>
  </si>
  <si>
    <t>SOC</t>
  </si>
  <si>
    <r>
      <rPr>
        <sz val="10"/>
        <color rgb="FF000000"/>
        <rFont val="Malgun Gothic"/>
        <family val="3"/>
        <charset val="129"/>
      </rPr>
      <t>soc (</t>
    </r>
    <r>
      <rPr>
        <sz val="10"/>
        <color rgb="FF000000"/>
        <rFont val="Noto Sans CJK SC"/>
        <family val="2"/>
      </rPr>
      <t xml:space="preserve">배터리 </t>
    </r>
    <r>
      <rPr>
        <sz val="10"/>
        <color rgb="FF000000"/>
        <rFont val="Malgun Gothic"/>
        <family val="3"/>
        <charset val="129"/>
      </rPr>
      <t>SOC) — update_soc()</t>
    </r>
  </si>
  <si>
    <t>셀 OCV-SOC 룩업(cell.ocv_V)과 내부저항 등가회로(pack.HV_Req)로 매 스텝 적분 추정</t>
  </si>
  <si>
    <t>발전량</t>
  </si>
  <si>
    <r>
      <rPr>
        <sz val="10"/>
        <color rgb="FF000000"/>
        <rFont val="Malgun Gothic"/>
        <family val="3"/>
        <charset val="129"/>
      </rPr>
      <t>P_gen (</t>
    </r>
    <r>
      <rPr>
        <sz val="10"/>
        <color rgb="FF000000"/>
        <rFont val="Noto Sans CJK SC"/>
        <family val="2"/>
      </rPr>
      <t>태양광 발전량</t>
    </r>
    <r>
      <rPr>
        <sz val="10"/>
        <color rgb="FF000000"/>
        <rFont val="Malgun Gothic"/>
        <family val="3"/>
        <charset val="129"/>
      </rPr>
      <t>) — gen_solar()</t>
    </r>
  </si>
  <si>
    <t>과거 평균 일사량(shortwave_radiation) × 패널면적 × 효율로 계산</t>
  </si>
  <si>
    <t>예측 발전량과 실측 MPPT 누적 발전량을 비교해 패널효율(Solar_eff)·음영손실을 보정하고 기상데이터 정확도를 검증한다</t>
  </si>
  <si>
    <t>전압</t>
  </si>
  <si>
    <r>
      <rPr>
        <sz val="10"/>
        <color rgb="FF000000"/>
        <rFont val="Malgun Gothic"/>
        <family val="3"/>
        <charset val="129"/>
      </rPr>
      <t>V_terminal / v_max_derated (</t>
    </r>
    <r>
      <rPr>
        <sz val="10"/>
        <color rgb="FF000000"/>
        <rFont val="Noto Sans CJK SC"/>
        <family val="2"/>
      </rPr>
      <t>전압 디레이팅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</si>
  <si>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>Kv(speed_constant)</t>
    </r>
    <r>
      <rPr>
        <sz val="10"/>
        <color rgb="FF000000"/>
        <rFont val="Noto Sans CJK SC"/>
        <family val="2"/>
      </rPr>
      <t xml:space="preserve">로 계산한 이론 역기전력과 </t>
    </r>
    <r>
      <rPr>
        <sz val="10"/>
        <color rgb="FF000000"/>
        <rFont val="Malgun Gothic"/>
        <family val="3"/>
        <charset val="129"/>
      </rPr>
      <t xml:space="preserve">HV_Req </t>
    </r>
    <r>
      <rPr>
        <sz val="10"/>
        <color rgb="FF000000"/>
        <rFont val="Noto Sans CJK SC"/>
        <family val="2"/>
      </rPr>
      <t>등가회로로 추정</t>
    </r>
  </si>
  <si>
    <t>실측 역기전력·최소 셀 전압으로 고속 구간 전압 여유와 디레이팅 시점 예측 정확도를 보정한다</t>
  </si>
  <si>
    <t>효율</t>
  </si>
  <si>
    <r>
      <rPr>
        <sz val="10"/>
        <color rgb="FF000000"/>
        <rFont val="Malgun Gothic"/>
        <family val="3"/>
        <charset val="129"/>
      </rPr>
      <t>Regen_eff (</t>
    </r>
    <r>
      <rPr>
        <sz val="10"/>
        <color rgb="FF000000"/>
        <rFont val="Noto Sans CJK SC"/>
        <family val="2"/>
      </rPr>
      <t>회생제동 효율</t>
    </r>
    <r>
      <rPr>
        <sz val="10"/>
        <color rgb="FF000000"/>
        <rFont val="Malgun Gothic"/>
        <family val="3"/>
        <charset val="129"/>
      </rPr>
      <t xml:space="preserve">, 0.6 </t>
    </r>
    <r>
      <rPr>
        <sz val="10"/>
        <color rgb="FF000000"/>
        <rFont val="Noto Sans CJK SC"/>
        <family val="2"/>
      </rPr>
      <t>가정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</si>
  <si>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Configs/Vehicle_Params.py </t>
    </r>
    <r>
      <rPr>
        <sz val="10"/>
        <color rgb="FF000000"/>
        <rFont val="Noto Sans CJK SC"/>
        <family val="2"/>
      </rPr>
      <t>상수</t>
    </r>
    <r>
      <rPr>
        <sz val="10"/>
        <color rgb="FF000000"/>
        <rFont val="Malgun Gothic"/>
        <family val="3"/>
        <charset val="129"/>
      </rPr>
      <t>, README</t>
    </r>
    <r>
      <rPr>
        <sz val="10"/>
        <color rgb="FF000000"/>
        <rFont val="Noto Sans CJK SC"/>
        <family val="2"/>
      </rPr>
      <t>에 코스트다운 실측법이 명시되어 있음</t>
    </r>
  </si>
  <si>
    <t>코스트다운 시험 중 Pack V×I 적분(E_regen)과 물리식 감속에너지(E_vehicle)를 비교해 Regen_eff 실측값을 산출한다</t>
  </si>
  <si>
    <r>
      <rPr>
        <sz val="10"/>
        <color rgb="FF000000"/>
        <rFont val="Malgun Gothic"/>
        <family val="3"/>
        <charset val="129"/>
      </rPr>
      <t xml:space="preserve">motor_eff / inverter_eff (0.97 / 0.95 </t>
    </r>
    <r>
      <rPr>
        <sz val="10"/>
        <color rgb="FF000000"/>
        <rFont val="Noto Sans CJK SC"/>
        <family val="2"/>
      </rPr>
      <t>가정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</si>
  <si>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Drivesystem </t>
    </r>
    <r>
      <rPr>
        <sz val="10"/>
        <color rgb="FF000000"/>
        <rFont val="Noto Sans CJK SC"/>
        <family val="2"/>
      </rPr>
      <t>상수</t>
    </r>
    <r>
      <rPr>
        <sz val="10"/>
        <color rgb="FF000000"/>
        <rFont val="Malgun Gothic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모터 데이터시트 정격값</t>
    </r>
  </si>
  <si>
    <t>Motor 0x402 Bus_Voltage×Bus_Current, 0x404 Phase_B/C_Current, 0x405/0x406 Vd·Vq·Id·Iq</t>
  </si>
  <si>
    <t>전기적 입력전력과 실제 주행에너지를 비교해 부하조건별 효율맵으로 정격값을 대체한다</t>
  </si>
  <si>
    <t>속도</t>
  </si>
  <si>
    <r>
      <rPr>
        <sz val="10"/>
        <color rgb="FF000000"/>
        <rFont val="Malgun Gothic"/>
        <family val="3"/>
        <charset val="129"/>
      </rPr>
      <t>a (</t>
    </r>
    <r>
      <rPr>
        <sz val="10"/>
        <color rgb="FF000000"/>
        <rFont val="Noto Sans CJK SC"/>
        <family val="2"/>
      </rPr>
      <t>가속도</t>
    </r>
    <r>
      <rPr>
        <sz val="10"/>
        <color rgb="FF000000"/>
        <rFont val="Malgun Gothic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 xml:space="preserve">현재 </t>
    </r>
    <r>
      <rPr>
        <sz val="10"/>
        <color rgb="FF000000"/>
        <rFont val="Malgun Gothic"/>
        <family val="3"/>
        <charset val="129"/>
      </rPr>
      <t xml:space="preserve">0 </t>
    </r>
    <r>
      <rPr>
        <sz val="10"/>
        <color rgb="FF000000"/>
        <rFont val="Noto Sans CJK SC"/>
        <family val="2"/>
      </rPr>
      <t>고정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</si>
  <si>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SimulationParameter </t>
    </r>
    <r>
      <rPr>
        <sz val="10"/>
        <color rgb="FF000000"/>
        <rFont val="Noto Sans CJK SC"/>
        <family val="2"/>
      </rPr>
      <t>초기값 이후 매 스텝 갱신되지 않고 상수로 취급됨</t>
    </r>
  </si>
  <si>
    <r>
      <rPr>
        <sz val="10"/>
        <color rgb="FF000000"/>
        <rFont val="Malgun Gothic"/>
        <family val="3"/>
        <charset val="129"/>
      </rPr>
      <t>Motor 0x403 Vehicle_Velocity</t>
    </r>
    <r>
      <rPr>
        <sz val="10"/>
        <color rgb="FF000000"/>
        <rFont val="Noto Sans CJK SC"/>
        <family val="2"/>
      </rPr>
      <t xml:space="preserve">를 시간 미분 </t>
    </r>
    <r>
      <rPr>
        <sz val="10"/>
        <color rgb="FF000000"/>
        <rFont val="Malgun Gothic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가속도 </t>
    </r>
    <r>
      <rPr>
        <sz val="10"/>
        <color rgb="FF000000"/>
        <rFont val="Malgun Gothic"/>
        <family val="3"/>
        <charset val="129"/>
      </rPr>
      <t xml:space="preserve">CAN </t>
    </r>
    <r>
      <rPr>
        <sz val="10"/>
        <color rgb="FF000000"/>
        <rFont val="Noto Sans CJK SC"/>
        <family val="2"/>
      </rPr>
      <t>신호 자체는 없음</t>
    </r>
    <r>
      <rPr>
        <sz val="10"/>
        <color rgb="FF000000"/>
        <rFont val="Malgun Gothic"/>
        <family val="3"/>
        <charset val="129"/>
      </rPr>
      <t>)</t>
    </r>
  </si>
  <si>
    <t>실제 가속·감속 프로파일을 반영하면 F_acc 항이 정확해져 구간 소비전력 추정 오차가 줄어든다</t>
  </si>
  <si>
    <r>
      <rPr>
        <sz val="10"/>
        <color rgb="FF000000"/>
        <rFont val="Malgun Gothic"/>
        <family val="3"/>
        <charset val="129"/>
      </rPr>
      <t xml:space="preserve">v (MPC </t>
    </r>
    <r>
      <rPr>
        <sz val="10"/>
        <color rgb="FF000000"/>
        <rFont val="Noto Sans CJK SC"/>
        <family val="2"/>
      </rPr>
      <t>목표속도</t>
    </r>
    <r>
      <rPr>
        <sz val="10"/>
        <color rgb="FF000000"/>
        <rFont val="Malgun Gothic"/>
        <family val="3"/>
        <charset val="129"/>
      </rPr>
      <t xml:space="preserve">) vs </t>
    </r>
    <r>
      <rPr>
        <sz val="10"/>
        <color rgb="FF000000"/>
        <rFont val="Noto Sans CJK SC"/>
        <family val="2"/>
      </rPr>
      <t>실제 도달속도</t>
    </r>
  </si>
  <si>
    <r>
      <rPr>
        <sz val="10"/>
        <color rgb="FF000000"/>
        <rFont val="Malgun Gothic"/>
        <family val="3"/>
        <charset val="129"/>
      </rPr>
      <t xml:space="preserve">mpc_speed() </t>
    </r>
    <r>
      <rPr>
        <sz val="10"/>
        <color rgb="FF000000"/>
        <rFont val="Noto Sans CJK SC"/>
        <family val="2"/>
      </rPr>
      <t>산출값이 그대로 실현된다고 가정</t>
    </r>
    <r>
      <rPr>
        <sz val="10"/>
        <color rgb="FF000000"/>
        <rFont val="Malgun Gothic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추종오차 </t>
    </r>
    <r>
      <rPr>
        <sz val="10"/>
        <color rgb="FF000000"/>
        <rFont val="Malgun Gothic"/>
        <family val="3"/>
        <charset val="129"/>
      </rPr>
      <t xml:space="preserve">0 </t>
    </r>
    <r>
      <rPr>
        <sz val="10"/>
        <color rgb="FF000000"/>
        <rFont val="Noto Sans CJK SC"/>
        <family val="2"/>
      </rPr>
      <t>가정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</si>
  <si>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>Motor 0x403 Vehicle_Velocity (</t>
    </r>
    <r>
      <rPr>
        <sz val="10"/>
        <color rgb="FF000000"/>
        <rFont val="Noto Sans CJK SC"/>
        <family val="2"/>
      </rPr>
      <t>실측 차속</t>
    </r>
    <r>
      <rPr>
        <sz val="10"/>
        <color rgb="FF000000"/>
        <rFont val="Malgun Gothic"/>
        <family val="3"/>
        <charset val="129"/>
      </rPr>
      <t>)</t>
    </r>
  </si>
  <si>
    <t>목표속도와 실제 도달속도의 차이(추종오차)를 확인해 v_rate_limiting 등 속도 변화 제한 파라미터를 보정한다</t>
  </si>
  <si>
    <t>발전 예측</t>
  </si>
  <si>
    <r>
      <rPr>
        <sz val="10"/>
        <color rgb="FF000000"/>
        <rFont val="Malgun Gothic"/>
        <family val="3"/>
        <charset val="129"/>
      </rPr>
      <t xml:space="preserve">LV7 </t>
    </r>
    <r>
      <rPr>
        <sz val="10"/>
        <color rgb="FF000000"/>
        <rFont val="Noto Sans CJK SC"/>
        <family val="2"/>
      </rPr>
      <t xml:space="preserve">미래 일사량 </t>
    </r>
    <r>
      <rPr>
        <sz val="10"/>
        <color rgb="FF000000"/>
        <rFont val="Malgun Gothic"/>
        <family val="3"/>
        <charset val="129"/>
      </rPr>
      <t>look-ahead (50km)</t>
    </r>
  </si>
  <si>
    <r>
      <rPr>
        <sz val="10"/>
        <color rgb="FF000000"/>
        <rFont val="Malgun Gothic"/>
        <family val="3"/>
        <charset val="129"/>
      </rPr>
      <t xml:space="preserve">env_data.csv </t>
    </r>
    <r>
      <rPr>
        <sz val="10"/>
        <color rgb="FF000000"/>
        <rFont val="Noto Sans CJK SC"/>
        <family val="2"/>
      </rPr>
      <t>과거 평균 기상 기반 예측</t>
    </r>
  </si>
  <si>
    <r>
      <rPr>
        <sz val="10"/>
        <color rgb="FF000000"/>
        <rFont val="Malgun Gothic"/>
        <family val="3"/>
        <charset val="129"/>
      </rPr>
      <t xml:space="preserve">(CAN </t>
    </r>
    <r>
      <rPr>
        <sz val="10"/>
        <color rgb="FF000000"/>
        <rFont val="Noto Sans CJK SC"/>
        <family val="2"/>
      </rPr>
      <t>직접 대응 없음</t>
    </r>
    <r>
      <rPr>
        <sz val="10"/>
        <color rgb="FF000000"/>
        <rFont val="Malgun Gothic"/>
        <family val="3"/>
        <charset val="129"/>
      </rPr>
      <t xml:space="preserve">) MPPT </t>
    </r>
    <r>
      <rPr>
        <sz val="10"/>
        <color rgb="FF000000"/>
        <rFont val="Noto Sans CJK SC"/>
        <family val="2"/>
      </rPr>
      <t>실측 발전량 시계열로 사후 검증</t>
    </r>
  </si>
  <si>
    <t>look-ahead 방향(상승/하강)이 실제 발전량 변화 방향과 일치하는지 사후 상관분석으로 LV7_trend_crit를 보정한다</t>
  </si>
  <si>
    <t>열</t>
  </si>
  <si>
    <t>열 디레이팅 (현재 미모델링)</t>
  </si>
  <si>
    <t>물리엔진에 온도 항이 없음</t>
  </si>
  <si>
    <t>온도 상승률 기반 목표속도 하향 로직(오르막 전 열 여유 확보)을 추가할 때 필요한 실측 입력. 로드맵상 AI 예측모델 단계에서 반영 예정</t>
  </si>
  <si>
    <t>안전</t>
  </si>
  <si>
    <t>보호·고장 오버라이드 (현재 미모델링)</t>
  </si>
  <si>
    <t>물리엔진에 Fault/Alarm 반영 없음, soc_cutoff(0.15)만 존재</t>
  </si>
  <si>
    <t>실제 보호 발동 구간은 정상 효율모델 학습에서 제외해야 하며, 실시간 연동 시 MPC 감속·정지 트리거로 사용한다</t>
  </si>
  <si>
    <t>보조전원</t>
  </si>
  <si>
    <r>
      <rPr>
        <sz val="10"/>
        <color rgb="FF000000"/>
        <rFont val="Malgun Gothic"/>
        <family val="3"/>
        <charset val="129"/>
      </rPr>
      <t xml:space="preserve">LV </t>
    </r>
    <r>
      <rPr>
        <sz val="10"/>
        <color rgb="FF000000"/>
        <rFont val="Noto Sans CJK SC"/>
        <family val="2"/>
      </rPr>
      <t xml:space="preserve">소비전력 </t>
    </r>
    <r>
      <rPr>
        <sz val="10"/>
        <color rgb="FF000000"/>
        <rFont val="Malgun Gothic"/>
        <family val="3"/>
        <charset val="129"/>
      </rPr>
      <t xml:space="preserve">(P_LV_race=50W, P_LV_chg=25W </t>
    </r>
    <r>
      <rPr>
        <sz val="10"/>
        <color rgb="FF000000"/>
        <rFont val="Noto Sans CJK SC"/>
        <family val="2"/>
      </rPr>
      <t>고정 가정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</si>
  <si>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Configs/Vehicle_Params.py PowerSystem </t>
    </r>
    <r>
      <rPr>
        <sz val="10"/>
        <color rgb="FF000000"/>
        <rFont val="Noto Sans CJK SC"/>
        <family val="2"/>
      </rPr>
      <t>상수</t>
    </r>
  </si>
  <si>
    <t>LV 팩 실측 V×I로 고정 가정값을 실측 기반 시계열로 대체해 보조부하 소비전력 정확도를 높인다</t>
  </si>
  <si>
    <t>Control Stop</t>
  </si>
  <si>
    <r>
      <rPr>
        <sz val="10"/>
        <color rgb="FF000000"/>
        <rFont val="Malgun Gothic"/>
        <family val="3"/>
        <charset val="129"/>
      </rPr>
      <t>cs_stop_simulation (</t>
    </r>
    <r>
      <rPr>
        <sz val="10"/>
        <color rgb="FF000000"/>
        <rFont val="Noto Sans CJK SC"/>
        <family val="2"/>
      </rPr>
      <t>정차시간</t>
    </r>
    <r>
      <rPr>
        <sz val="10"/>
        <color rgb="FF000000"/>
        <rFont val="Malgun Gothic"/>
        <family val="3"/>
        <charset val="129"/>
      </rPr>
      <t>·</t>
    </r>
    <r>
      <rPr>
        <sz val="10"/>
        <color rgb="FF000000"/>
        <rFont val="Noto Sans CJK SC"/>
        <family val="2"/>
      </rPr>
      <t>충전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</si>
  <si>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soc </t>
    </r>
    <r>
      <rPr>
        <sz val="10"/>
        <color rgb="FF000000"/>
        <rFont val="Noto Sans CJK SC"/>
        <family val="2"/>
      </rPr>
      <t xml:space="preserve">기반 선형보간 정차시간 산정 </t>
    </r>
    <r>
      <rPr>
        <sz val="10"/>
        <color rgb="FF000000"/>
        <rFont val="Malgun Gothic"/>
        <family val="3"/>
        <charset val="129"/>
      </rPr>
      <t xml:space="preserve">+ </t>
    </r>
    <r>
      <rPr>
        <sz val="10"/>
        <color rgb="FF000000"/>
        <rFont val="Noto Sans CJK SC"/>
        <family val="2"/>
      </rPr>
      <t>태양광 충전만 반영</t>
    </r>
  </si>
  <si>
    <r>
      <rPr>
        <sz val="10"/>
        <color rgb="FF000000"/>
        <rFont val="Malgun Gothic"/>
        <family val="3"/>
        <charset val="129"/>
      </rPr>
      <t xml:space="preserve">BMS(HV) </t>
    </r>
    <r>
      <rPr>
        <sz val="10"/>
        <color rgb="FF000000"/>
        <rFont val="Noto Sans CJK SC"/>
        <family val="2"/>
      </rPr>
      <t xml:space="preserve">정차 중 </t>
    </r>
    <r>
      <rPr>
        <sz val="10"/>
        <color rgb="FF000000"/>
        <rFont val="Malgun Gothic"/>
        <family val="3"/>
        <charset val="129"/>
      </rPr>
      <t>SOC/</t>
    </r>
    <r>
      <rPr>
        <sz val="10"/>
        <color rgb="FF000000"/>
        <rFont val="Noto Sans CJK SC"/>
        <family val="2"/>
      </rPr>
      <t>전압</t>
    </r>
    <r>
      <rPr>
        <sz val="10"/>
        <color rgb="FF000000"/>
        <rFont val="Malgun Gothic"/>
        <family val="3"/>
        <charset val="129"/>
      </rPr>
      <t xml:space="preserve">, MPPT </t>
    </r>
    <r>
      <rPr>
        <sz val="10"/>
        <color rgb="FF000000"/>
        <rFont val="Noto Sans CJK SC"/>
        <family val="2"/>
      </rPr>
      <t>정차 중 발전량</t>
    </r>
  </si>
  <si>
    <t>실제 정차 중 SOC 회복 속도를 실측과 비교해 cs_chg_eff, cs_stop_min/max를 보정한다</t>
  </si>
  <si>
    <t>물리상수</t>
  </si>
  <si>
    <r>
      <rPr>
        <sz val="10"/>
        <color rgb="FF000000"/>
        <rFont val="Malgun Gothic"/>
        <family val="3"/>
        <charset val="129"/>
      </rPr>
      <t xml:space="preserve">mass, Cd, A_f, Crr </t>
    </r>
    <r>
      <rPr>
        <sz val="10"/>
        <color rgb="FF000000"/>
        <rFont val="Noto Sans CJK SC"/>
        <family val="2"/>
      </rPr>
      <t>등 차량 고정 상수</t>
    </r>
  </si>
  <si>
    <t>설계값·풍동시험 추정치로 고정</t>
  </si>
  <si>
    <r>
      <rPr>
        <sz val="10"/>
        <color rgb="FF000000"/>
        <rFont val="Malgun Gothic"/>
        <family val="3"/>
        <charset val="129"/>
      </rPr>
      <t xml:space="preserve">(CAN </t>
    </r>
    <r>
      <rPr>
        <sz val="10"/>
        <color rgb="FF000000"/>
        <rFont val="Noto Sans CJK SC"/>
        <family val="2"/>
      </rPr>
      <t>직접 대응 없음</t>
    </r>
    <r>
      <rPr>
        <sz val="10"/>
        <color rgb="FF000000"/>
        <rFont val="Malgun Gothic"/>
        <family val="3"/>
        <charset val="129"/>
      </rPr>
      <t>) 1</t>
    </r>
    <r>
      <rPr>
        <sz val="10"/>
        <color rgb="FF000000"/>
        <rFont val="Noto Sans CJK SC"/>
        <family val="2"/>
      </rPr>
      <t xml:space="preserve">번 </t>
    </r>
    <r>
      <rPr>
        <sz val="10"/>
        <color rgb="FF000000"/>
        <rFont val="Malgun Gothic"/>
        <family val="3"/>
        <charset val="129"/>
      </rPr>
      <t xml:space="preserve">P_batt </t>
    </r>
    <r>
      <rPr>
        <sz val="10"/>
        <color rgb="FF000000"/>
        <rFont val="Noto Sans CJK SC"/>
        <family val="2"/>
      </rPr>
      <t>실측 비교로 간접 역산</t>
    </r>
  </si>
  <si>
    <t>정속 평지 구간에서 실측 Pack·Bus 전력을 역산해 저항계수 조합을 간접적으로 검증하는 것이 유일한 경로다</t>
  </si>
  <si>
    <t>해당없음</t>
  </si>
  <si>
    <t>🔵 매핑 항목 14건 (PRIMARY 6 · DETAIL 4 · SD_ONLY 1 · 미모델링/향후 반영 2 · 간접검증 1)</t>
  </si>
  <si>
    <r>
      <rPr>
        <b/>
        <sz val="11"/>
        <color rgb="FFFFFFFF"/>
        <rFont val="맑은 고딕"/>
        <family val="3"/>
        <charset val="129"/>
      </rPr>
      <t xml:space="preserve">■ 3. </t>
    </r>
    <r>
      <rPr>
        <b/>
        <sz val="11"/>
        <color rgb="FFFFFFFF"/>
        <rFont val="Noto Sans CJK SC"/>
        <family val="2"/>
      </rPr>
      <t>우선순위별 시뮬레이션 연동 단계</t>
    </r>
  </si>
  <si>
    <t>연동 단계</t>
  </si>
  <si>
    <t>관련 CAN ID 예시</t>
  </si>
  <si>
    <t>실시간 1순위 연동 대상 — SOC·전력·속도 등 매 스텝 상태 갱신에 직접 사용 예정</t>
  </si>
  <si>
    <t>모델·효율맵 정밀화에 사용, 저주기로 반영 예정</t>
  </si>
  <si>
    <t>실시간 미사용, 사후 상관분석·이상구간 판정에만 사용</t>
  </si>
  <si>
    <r>
      <rPr>
        <b/>
        <sz val="11"/>
        <color rgb="FFFFFFFF"/>
        <rFont val="맑은 고딕"/>
        <family val="3"/>
        <charset val="129"/>
      </rPr>
      <t xml:space="preserve">■ 4. </t>
    </r>
    <r>
      <rPr>
        <b/>
        <sz val="11"/>
        <color rgb="FFFFFFFF"/>
        <rFont val="Noto Sans CJK SC"/>
        <family val="2"/>
      </rPr>
      <t>현재 한계 및 실측 연동 로드맵</t>
    </r>
  </si>
  <si>
    <t>현재 상태(2026-07-11)</t>
  </si>
  <si>
    <t>시뮬레이션은 CAN 실시간 데이터와 미연동 상태다. 전량 설계 가정값과 과거 평균 기상(2017~2025년 8월 기준)으로 구동되며, README/TODO 로드맵의 "실측 텔레메트리 데이터로 교체" 항목은 아직 착수 전이다.</t>
  </si>
  <si>
    <t>권장 연동 순서</t>
  </si>
  <si>
    <t>① P_batt 검증(BMS HV Pack V·I + Motor Bus V·I) → ② P_gen 검증(MPPT #1~3 누적 발전량) → ③ SOC 모델 보정(쿨롱카운팅 대조) → ④ Regen_eff·motor_eff 실측치 대체 → ⑤ 안전상태(Fault/Alarm) 오버라이드 추가 → ⑥ 열 디레이팅 반영</t>
  </si>
  <si>
    <t>CAN 정리본 범위 밖 필요 데이터</t>
  </si>
  <si>
    <t>실시간 온보드 풍향·풍속(현재 과거 평균 기상으로 대체 중), 실시간 GPS·경사(현재 사전 계산된 2027 BWSC TRACK.csv 사용)</t>
  </si>
  <si>
    <t>선행 조건</t>
  </si>
  <si>
    <t>BMS(LV)는 CAN ID가 미정이고 Motor는 VCU 미확정으로 placeholder ID를 사용 중이므로, 두 항목이 확정되기 전에는 위 매핑 표의 4·6·12번(Motor·LV 관련) 항목을 실측 연동에 바로 쓸 수 없다.</t>
  </si>
  <si>
    <t>디스플레이 표시 항목 및 CAN 송수신 데이터 정리</t>
  </si>
  <si>
    <t>■ 1. 표시 항목 (계기장치 레이아웃)</t>
  </si>
  <si>
    <t>번호</t>
  </si>
  <si>
    <t>표시 내용</t>
  </si>
  <si>
    <t>①</t>
  </si>
  <si>
    <t>좌/우측 방향지시등</t>
  </si>
  <si>
    <t>②</t>
  </si>
  <si>
    <t>현재 속도</t>
  </si>
  <si>
    <t>③</t>
  </si>
  <si>
    <t>비상등</t>
  </si>
  <si>
    <t>④</t>
  </si>
  <si>
    <t>에너지저장시스템경고등</t>
  </si>
  <si>
    <t>⑤</t>
  </si>
  <si>
    <t>크루즈컨트롤 설정속도</t>
  </si>
  <si>
    <t>⑥</t>
  </si>
  <si>
    <t>추천속도</t>
  </si>
  <si>
    <t>⑦</t>
  </si>
  <si>
    <r>
      <rPr>
        <sz val="10"/>
        <color rgb="FF000000"/>
        <rFont val="Malgun Gothic"/>
        <family val="3"/>
        <charset val="129"/>
      </rPr>
      <t xml:space="preserve">MPPT </t>
    </r>
    <r>
      <rPr>
        <sz val="10"/>
        <color rgb="FF000000"/>
        <rFont val="Noto Sans CJK SC"/>
        <family val="2"/>
      </rPr>
      <t>전력</t>
    </r>
  </si>
  <si>
    <t>⑧</t>
  </si>
  <si>
    <t>배터리 SOC (%)</t>
  </si>
  <si>
    <t>⑨</t>
  </si>
  <si>
    <t>현재 시간</t>
  </si>
  <si>
    <t>⑩</t>
  </si>
  <si>
    <t>모터 전력</t>
  </si>
  <si>
    <t>⑪</t>
  </si>
  <si>
    <t>외부 통신상태</t>
  </si>
  <si>
    <t>⑫</t>
  </si>
  <si>
    <r>
      <rPr>
        <sz val="10"/>
        <color rgb="FF000000"/>
        <rFont val="Malgun Gothic"/>
        <family val="3"/>
        <charset val="129"/>
      </rPr>
      <t xml:space="preserve">Fault </t>
    </r>
    <r>
      <rPr>
        <sz val="10"/>
        <color rgb="FF000000"/>
        <rFont val="Noto Sans CJK SC"/>
        <family val="2"/>
      </rPr>
      <t>표시</t>
    </r>
  </si>
  <si>
    <t>⑬</t>
  </si>
  <si>
    <t>기타정보 표시 (미정)</t>
  </si>
  <si>
    <t>⑭</t>
  </si>
  <si>
    <t>로고&amp;텍스트 표시</t>
  </si>
  <si>
    <t>※ 규정상 표시해야하는 항목</t>
  </si>
  <si>
    <t>▸ 디스플레이 레이아웃 예시</t>
  </si>
  <si>
    <t>▸ 핸들 디자인 예시</t>
  </si>
  <si>
    <t>■ 2. CAN 송수신 데이터 요약</t>
  </si>
  <si>
    <t>송수신</t>
  </si>
  <si>
    <t>데이터</t>
  </si>
  <si>
    <t>수신</t>
  </si>
  <si>
    <t>각 파트별 에러코드 수신</t>
  </si>
  <si>
    <t>제한 동작 사유, 에러 코드,  CAN 송/수신 에러 카운트</t>
  </si>
  <si>
    <r>
      <rPr>
        <sz val="10"/>
        <color rgb="FF000000"/>
        <rFont val="Malgun Gothic"/>
        <family val="3"/>
        <charset val="129"/>
      </rPr>
      <t>BMS</t>
    </r>
    <r>
      <rPr>
        <sz val="10"/>
        <color rgb="FF000000"/>
        <rFont val="Noto Sans CJK SC"/>
        <family val="2"/>
      </rPr>
      <t>전체상태 오류</t>
    </r>
    <r>
      <rPr>
        <sz val="10"/>
        <color rgb="FF000000"/>
        <rFont val="Malgun Gothic"/>
        <family val="3"/>
        <charset val="129"/>
      </rPr>
      <t>, MPPT</t>
    </r>
    <r>
      <rPr>
        <sz val="10"/>
        <color rgb="FF000000"/>
        <rFont val="Noto Sans CJK SC"/>
        <family val="2"/>
      </rPr>
      <t>상태오류</t>
    </r>
    <r>
      <rPr>
        <sz val="10"/>
        <color rgb="FF000000"/>
        <rFont val="Malgun Gothic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모터 오류 등 중요 오류를 화면에 바로 표시하고 정상 에너지와 관련된 오류는 즉각 계기장치에 표시해야한다</t>
    </r>
    <r>
      <rPr>
        <sz val="10"/>
        <color rgb="FF000000"/>
        <rFont val="Malgun Gothic"/>
        <family val="3"/>
        <charset val="129"/>
      </rPr>
      <t>.</t>
    </r>
  </si>
  <si>
    <t>주행데이터</t>
  </si>
  <si>
    <t>현재 속도, 크루즈컨트롤 활성화여부, 추천속도</t>
  </si>
  <si>
    <t>주행하는동안 속도는 계기장치에 표시되어야한다. 크루즈 컨트롤기능은 브레이크작동 혹은 차량에 문제가있을시 즉각 멈춰야한다. 따라서 크루즈컨트롤 표시여부는 수신데이터를 기준으로한다. 추천속도는 VCU에서 계산한 속도를 받아 운전자가 능동적으로 목표속도를 조정한다.</t>
  </si>
  <si>
    <t>MPPT -  Error_Flags(u8), Mode(u8)</t>
  </si>
  <si>
    <r>
      <rPr>
        <sz val="10"/>
        <color rgb="FF000000"/>
        <rFont val="Malgun Gothic"/>
        <family val="3"/>
        <charset val="129"/>
      </rPr>
      <t>MPPT</t>
    </r>
    <r>
      <rPr>
        <sz val="10"/>
        <color rgb="FF000000"/>
        <rFont val="Noto Sans CJK SC"/>
        <family val="2"/>
      </rPr>
      <t>에러 코드와 동작 모드</t>
    </r>
    <r>
      <rPr>
        <sz val="10"/>
        <color rgb="FF000000"/>
        <rFont val="Malgun Gothic"/>
        <family val="3"/>
        <charset val="129"/>
      </rPr>
      <t xml:space="preserve">(MPPT </t>
    </r>
    <r>
      <rPr>
        <sz val="10"/>
        <color rgb="FF000000"/>
        <rFont val="Noto Sans CJK SC"/>
        <family val="2"/>
      </rPr>
      <t>추종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정전압 등</t>
    </r>
    <r>
      <rPr>
        <sz val="10"/>
        <color rgb="FF000000"/>
        <rFont val="Malgun Gothic"/>
        <family val="3"/>
        <charset val="129"/>
      </rPr>
      <t>)</t>
    </r>
  </si>
  <si>
    <r>
      <rPr>
        <sz val="10"/>
        <color rgb="FF000000"/>
        <rFont val="Malgun Gothic"/>
        <family val="3"/>
        <charset val="129"/>
      </rPr>
      <t xml:space="preserve">MPPT </t>
    </r>
    <r>
      <rPr>
        <sz val="10"/>
        <color rgb="FF000000"/>
        <rFont val="Noto Sans CJK SC"/>
        <family val="2"/>
      </rPr>
      <t>에러 등 에너지와 관련된 오류는 규정상 계기장치에 표시하여야한다</t>
    </r>
    <r>
      <rPr>
        <sz val="10"/>
        <color rgb="FF000000"/>
        <rFont val="Malgun Gothic"/>
        <family val="3"/>
        <charset val="129"/>
      </rPr>
      <t>.</t>
    </r>
  </si>
  <si>
    <r>
      <rPr>
        <sz val="10"/>
        <color rgb="FF000000"/>
        <rFont val="Malgun Gothic"/>
        <family val="3"/>
        <charset val="129"/>
      </rPr>
      <t xml:space="preserve">MPPT </t>
    </r>
    <r>
      <rPr>
        <sz val="10"/>
        <color rgb="FF000000"/>
        <rFont val="Noto Sans CJK SC"/>
        <family val="2"/>
      </rPr>
      <t xml:space="preserve">데이터 </t>
    </r>
    <r>
      <rPr>
        <sz val="10"/>
        <color rgb="FF000000"/>
        <rFont val="Malgun Gothic"/>
        <family val="3"/>
        <charset val="129"/>
      </rPr>
      <t>- Output_Voltage(float, V), Output_Current(float, A)</t>
    </r>
  </si>
  <si>
    <r>
      <rPr>
        <sz val="10"/>
        <color rgb="FF000000"/>
        <rFont val="Malgun Gothic"/>
        <family val="3"/>
        <charset val="129"/>
      </rPr>
      <t>MPPT</t>
    </r>
    <r>
      <rPr>
        <sz val="10"/>
        <color rgb="FF000000"/>
        <rFont val="Noto Sans CJK SC"/>
        <family val="2"/>
      </rPr>
      <t>에서 배터리팩으로 나가는 전압전류를 측정하고 이를 전력으로 표시한다</t>
    </r>
    <r>
      <rPr>
        <sz val="10"/>
        <color rgb="FF000000"/>
        <rFont val="Malgun Gothic"/>
        <family val="3"/>
        <charset val="129"/>
      </rPr>
      <t>.</t>
    </r>
  </si>
  <si>
    <t>BMS - Global_Fault(u32), BattStat(u16), Alarm(u16)</t>
  </si>
  <si>
    <r>
      <rPr>
        <sz val="10"/>
        <color rgb="FF000000"/>
        <rFont val="Malgun Gothic"/>
        <family val="3"/>
        <charset val="129"/>
      </rPr>
      <t xml:space="preserve">BMS </t>
    </r>
    <r>
      <rPr>
        <sz val="10"/>
        <color rgb="FF000000"/>
        <rFont val="Noto Sans CJK SC"/>
        <family val="2"/>
      </rPr>
      <t>에러 등 에너지와 관련된 오류는 규정상 계기장치에 표시하여야한다</t>
    </r>
    <r>
      <rPr>
        <sz val="10"/>
        <color rgb="FF000000"/>
        <rFont val="Malgun Gothic"/>
        <family val="3"/>
        <charset val="129"/>
      </rPr>
      <t>.</t>
    </r>
  </si>
  <si>
    <r>
      <rPr>
        <sz val="10"/>
        <color rgb="FF000000"/>
        <rFont val="Malgun Gothic"/>
        <family val="3"/>
        <charset val="129"/>
      </rPr>
      <t xml:space="preserve">BMS(LV) </t>
    </r>
    <r>
      <rPr>
        <sz val="10"/>
        <color rgb="FF000000"/>
        <rFont val="Noto Sans CJK SC"/>
        <family val="2"/>
      </rPr>
      <t>데이터</t>
    </r>
  </si>
  <si>
    <t>배터리팩의 SOC(%)를 화면에 표시한다.</t>
  </si>
  <si>
    <t>Motor - Limit_Flags(u16), Error_Flags(u16), Active_Motor(u16), TxErrCnt(u8), RxErrCnt(u8)</t>
  </si>
  <si>
    <t>모터의 에러를 수신받아 화면에 띄운다.</t>
  </si>
  <si>
    <r>
      <rPr>
        <sz val="10"/>
        <color rgb="FF000000"/>
        <rFont val="Malgun Gothic"/>
        <family val="3"/>
        <charset val="129"/>
      </rPr>
      <t xml:space="preserve">Motor </t>
    </r>
    <r>
      <rPr>
        <sz val="10"/>
        <color rgb="FF000000"/>
        <rFont val="Noto Sans CJK SC"/>
        <family val="2"/>
      </rPr>
      <t xml:space="preserve">데이터 </t>
    </r>
    <r>
      <rPr>
        <sz val="10"/>
        <color rgb="FF000000"/>
        <rFont val="Malgun Gothic"/>
        <family val="3"/>
        <charset val="129"/>
      </rPr>
      <t>- Bus_Voltage(float, V), Bus_Current(float, A)</t>
    </r>
  </si>
  <si>
    <t>모터가 현재 사용하고있는 전력을 측정하여 화면에 표시한다.</t>
  </si>
  <si>
    <t>기타 파트 에러코드 수신</t>
  </si>
  <si>
    <r>
      <rPr>
        <sz val="10"/>
        <color rgb="FF000000"/>
        <rFont val="Malgun Gothic"/>
        <family val="3"/>
        <charset val="129"/>
      </rPr>
      <t>VCU</t>
    </r>
    <r>
      <rPr>
        <sz val="10"/>
        <color rgb="FF000000"/>
        <rFont val="Noto Sans CJK SC"/>
        <family val="2"/>
      </rPr>
      <t>혹은 기타</t>
    </r>
    <r>
      <rPr>
        <sz val="10"/>
        <color rgb="FF000000"/>
        <rFont val="Malgun Gothic"/>
        <family val="3"/>
        <charset val="129"/>
      </rPr>
      <t>MCU</t>
    </r>
    <r>
      <rPr>
        <sz val="10"/>
        <color rgb="FF000000"/>
        <rFont val="Noto Sans CJK SC"/>
        <family val="2"/>
      </rPr>
      <t>에서 전송되는 에러 코드</t>
    </r>
    <r>
      <rPr>
        <sz val="10"/>
        <color rgb="FF000000"/>
        <rFont val="Malgun Gothic"/>
        <family val="3"/>
        <charset val="129"/>
      </rPr>
      <t xml:space="preserve">,  CAN </t>
    </r>
    <r>
      <rPr>
        <sz val="10"/>
        <color rgb="FF000000"/>
        <rFont val="Noto Sans CJK SC"/>
        <family val="2"/>
      </rPr>
      <t>송</t>
    </r>
    <r>
      <rPr>
        <sz val="10"/>
        <color rgb="FF000000"/>
        <rFont val="Malgun Gothic"/>
        <family val="3"/>
        <charset val="129"/>
      </rPr>
      <t>/</t>
    </r>
    <r>
      <rPr>
        <sz val="10"/>
        <color rgb="FF000000"/>
        <rFont val="Noto Sans CJK SC"/>
        <family val="2"/>
      </rPr>
      <t>수신 에러 카운트</t>
    </r>
  </si>
  <si>
    <t>기타 MCU에서 전송되는 에러코드, 카운트를 수신하여 화면에 표시하기위함이다.</t>
  </si>
  <si>
    <t>주행중 표시할 기타 데이터 수신(미정)</t>
  </si>
  <si>
    <t>텍스트, 시간, 주행거리 등</t>
  </si>
  <si>
    <t>기타 다양한 테이터를 화면애표시한다.</t>
  </si>
  <si>
    <t>송신</t>
  </si>
  <si>
    <t>에러 코드, 플래그</t>
  </si>
  <si>
    <t>화면표시오류와, 디스플레이 전력공급오류, 전자식후방시야시스템 오류</t>
  </si>
  <si>
    <t xml:space="preserve">규정상 주행중 계기장치와 후방시야는 반드시 표시되어야한다. 따라서 화면표시여부를 SPI로 관측하고 오류발생시 오류코드를 전송한다. </t>
  </si>
  <si>
    <t>크루즈컨트롤 컨트롤 데이터</t>
  </si>
  <si>
    <t>크루즈컨트롤 활성화여부, 목표속도조절</t>
  </si>
  <si>
    <t xml:space="preserve"> 크루즈컨트롤은 수동입력시 반드시 비활성화 되어야하며 따라서 ON, OFF, 목표속도 UP, DOWN을 모터컨트롤러에 송신한다.</t>
  </si>
  <si>
    <t>기타 컨트롤 데이터 (미정)</t>
  </si>
  <si>
    <t>기타 컨트롤 데이터</t>
  </si>
  <si>
    <t>대쉬보드에는 계기판뿐만아니라 전자식 후방장치, 각종 컨트롤 버튼이 존재하며 이를 각부분에 송신한다.</t>
  </si>
  <si>
    <t>※ 파란색 배경 행 = 규정상 표시 의무가 있거나(설명에 "규정" 포함) BMS 관련 데이터 항목(수신 4건 + 송신 1건, 총 5건)</t>
  </si>
  <si>
    <t>🔵 표시 항목 14건 · 수신 데이터 10건(구분 대조 완료 6건) · 송신 데이터 3건</t>
  </si>
  <si>
    <r>
      <rPr>
        <sz val="10"/>
        <color rgb="FF808080"/>
        <rFont val="맑은 고딕"/>
        <family val="3"/>
        <charset val="129"/>
      </rPr>
      <t>계기장치</t>
    </r>
    <r>
      <rPr>
        <sz val="10"/>
        <color rgb="FF808080"/>
        <rFont val="Arial"/>
        <family val="2"/>
      </rPr>
      <t>(</t>
    </r>
    <r>
      <rPr>
        <sz val="10"/>
        <color rgb="FF808080"/>
        <rFont val="맑은 고딕"/>
        <family val="3"/>
        <charset val="129"/>
      </rPr>
      <t>디스플레이</t>
    </r>
    <r>
      <rPr>
        <sz val="10"/>
        <color rgb="FF808080"/>
        <rFont val="Arial"/>
        <family val="2"/>
      </rPr>
      <t xml:space="preserve">) </t>
    </r>
    <r>
      <rPr>
        <sz val="10"/>
        <color rgb="FF808080"/>
        <rFont val="맑은 고딕"/>
        <family val="3"/>
        <charset val="129"/>
      </rPr>
      <t>표시</t>
    </r>
    <r>
      <rPr>
        <sz val="10"/>
        <color rgb="FF808080"/>
        <rFont val="Arial"/>
        <family val="2"/>
      </rPr>
      <t xml:space="preserve"> </t>
    </r>
    <r>
      <rPr>
        <sz val="10"/>
        <color rgb="FF808080"/>
        <rFont val="맑은 고딕"/>
        <family val="3"/>
        <charset val="129"/>
      </rPr>
      <t>항목</t>
    </r>
    <phoneticPr fontId="39" type="noConversion"/>
  </si>
  <si>
    <t>0x06D, 0x06E</t>
    <phoneticPr fontId="39" type="noConversion"/>
  </si>
  <si>
    <t>0x06F, 0x078~0x07B, 0x07C~0x07F</t>
    <phoneticPr fontId="39" type="noConversion"/>
  </si>
  <si>
    <t>0x074~0x077</t>
    <phoneticPr fontId="39" type="noConversion"/>
  </si>
  <si>
    <t>0x070~0x073</t>
    <phoneticPr fontId="39" type="noConversion"/>
  </si>
  <si>
    <t>0x051~0x054</t>
    <phoneticPr fontId="39" type="noConversion"/>
  </si>
  <si>
    <t>0x059</t>
    <phoneticPr fontId="39" type="noConversion"/>
  </si>
  <si>
    <t>0x058</t>
    <phoneticPr fontId="39" type="noConversion"/>
  </si>
  <si>
    <t>0x057</t>
    <phoneticPr fontId="39" type="noConversion"/>
  </si>
  <si>
    <t>0x056</t>
    <phoneticPr fontId="39" type="noConversion"/>
  </si>
  <si>
    <t>0x055</t>
    <phoneticPr fontId="39" type="noConversion"/>
  </si>
  <si>
    <t>0x046</t>
    <phoneticPr fontId="39" type="noConversion"/>
  </si>
  <si>
    <t>0x045</t>
    <phoneticPr fontId="39" type="noConversion"/>
  </si>
  <si>
    <t>0x044</t>
    <phoneticPr fontId="39" type="noConversion"/>
  </si>
  <si>
    <t>0x05B</t>
    <phoneticPr fontId="39" type="noConversion"/>
  </si>
  <si>
    <t>0x05A</t>
    <phoneticPr fontId="39" type="noConversion"/>
  </si>
  <si>
    <t>0x069~0x06C</t>
    <phoneticPr fontId="39" type="noConversion"/>
  </si>
  <si>
    <t>0x065~0x068</t>
    <phoneticPr fontId="39" type="noConversion"/>
  </si>
  <si>
    <t>0x05C</t>
    <phoneticPr fontId="39" type="noConversion"/>
  </si>
  <si>
    <t>0x061~0x064</t>
    <phoneticPr fontId="39" type="noConversion"/>
  </si>
  <si>
    <t>0x05D~0x060</t>
    <phoneticPr fontId="39" type="noConversion"/>
  </si>
  <si>
    <t>0x048~0x04B</t>
    <phoneticPr fontId="39" type="noConversion"/>
  </si>
  <si>
    <t>0x050</t>
    <phoneticPr fontId="39" type="noConversion"/>
  </si>
  <si>
    <t>0x04F</t>
    <phoneticPr fontId="39" type="noConversion"/>
  </si>
  <si>
    <t>0x04E</t>
    <phoneticPr fontId="39" type="noConversion"/>
  </si>
  <si>
    <t>0x04D</t>
    <phoneticPr fontId="39" type="noConversion"/>
  </si>
  <si>
    <t>0x04C</t>
    <phoneticPr fontId="39" type="noConversion"/>
  </si>
  <si>
    <t>0x042</t>
    <phoneticPr fontId="39" type="noConversion"/>
  </si>
  <si>
    <t>0x041</t>
    <phoneticPr fontId="39" type="noConversion"/>
  </si>
  <si>
    <t>0x040</t>
    <phoneticPr fontId="39" type="noConversion"/>
  </si>
  <si>
    <t>CC3Counts(i32), BattVoltageSum(u16)</t>
    <phoneticPr fontId="39" type="noConversion"/>
  </si>
  <si>
    <t>3차 쿨롱 카운터, 셀 전압 합산값 (2026-07 DLC 8→6바이트로 축소되며 Load-Detect 전압 필드는 프레임에서 완전히 제거됨)</t>
    <phoneticPr fontId="39" type="noConversion"/>
  </si>
  <si>
    <t>쿨롱값과 셀 전압 합을 교차 검증해 비정상 측정 구간을 찾아내고 SOC·에너지 모델 학습 데이터에서 제외한다.</t>
    <phoneticPr fontId="39" type="noConversion"/>
  </si>
  <si>
    <t>BOT 0x050과 동일 항목</t>
    <phoneticPr fontId="39" type="noConversion"/>
  </si>
  <si>
    <t>TOP 스택 3차 쿨롱 카운터/전압 합산 (LD전압 필드 제거, BOT과 동일 구조)</t>
    <phoneticPr fontId="39" type="noConversion"/>
  </si>
  <si>
    <t>BOT 0x04C와 동일 항목</t>
    <phoneticPr fontId="39" type="noConversion"/>
  </si>
  <si>
    <t>BOT 0x04D와 동일 항목</t>
    <phoneticPr fontId="39" type="noConversion"/>
  </si>
  <si>
    <t>BOT 0x04E와 동일 항목</t>
    <phoneticPr fontId="39" type="noConversion"/>
  </si>
  <si>
    <t>BOT 0x04F와 동일 항목</t>
    <phoneticPr fontId="39" type="noConversion"/>
  </si>
  <si>
    <t>전류 적분으로 ΔAh를 계산해 쿨롱카운터(0x04E~0x050) 값과 교차검증한다. 실제 SOC는 이제 0x043(BOT)/0x047(TOP)에서 직접 수신한다(2026-07 신규 PRIMARY 편입). MinCell은 방전 한계, MaxCell은 충전·회생 한계, CellTemp는 열 한계로 사용하여 목표속도와 허용출력을 조정한다.</t>
    <phoneticPr fontId="39" type="noConversion"/>
  </si>
  <si>
    <t>SD_ONLY(LEGACY)</t>
  </si>
  <si>
    <t>0x223</t>
  </si>
  <si>
    <t>FET_Status(u8), CHG(u8), DSG(u8), PDSG(u8)</t>
  </si>
  <si>
    <t>TOP 스택 FET 구동 상태 및 CHG/DSG/PDSG 활성화 여부(BOT 0x123과 동일 구조) — 기존 CB_Status1이 있던 프레임이 재구성되며 신설(CB_Status1은 0x06F로 이전)</t>
  </si>
  <si>
    <t>TOP 스택 FET 상태로 실제 충·방전 가능 여부를 확인한다. BOT/TOP 중 한쪽이라도 FET가 열려 있으면 해당 방향의 출력을 차단해야 한다.</t>
  </si>
  <si>
    <t>0x047</t>
  </si>
  <si>
    <t>SOC_Permille(u16, 0.1%)</t>
  </si>
  <si>
    <t>TOP 스택의 잔존용량(SOC)을 0.1% 단위로 제공(BOT 0x043과 동일 구조) — 2026-07 PRIMARY 블록에 신규 편입</t>
  </si>
  <si>
    <t>BOT/TOP 양쪽 SOC를 비교해 스택 간 불균형을 조기에 파악하고, 더 낮은 쪽 SOC를 기준으로 보수적인 완주 전략을 수립한다.</t>
  </si>
  <si>
    <t>0x123</t>
  </si>
  <si>
    <t>FET(충전/방전/프리차지) 구동 상태 및 CHG/DSG/PDSG 활성화 여부 — 기존 CB_Status1이 있던 프레임이 재구성되며 신설(CB_Status1은 0x05C로 이전)</t>
  </si>
  <si>
    <t>FET 상태로 실제 충·방전 가능 여부를 확인해 목표 출력이 물리적으로 인가 가능한지 판단한다. 밸런싱 상태와 별개로 유지되는 독립 프레임이다.</t>
  </si>
  <si>
    <t>0x043</t>
  </si>
  <si>
    <t>BMS가 직접 계산한 잔존용량(State of Charge)을 0.1% 단위로 제공 — 2026-07 PRIMARY 블록에 신규 편입</t>
  </si>
  <si>
    <t>기존에는 Pack Current 적분이나 쿨롱카운터(0x04E~0x050)로 SOC를 간접 추정해야 했으나, 이제 BMS가 계산한 SOC를 200ms마다 직접 수신한다. 목표속도·완주전략의 핵심 입력이며 별도 추정 로직 없이 바로 사용 가능하다.</t>
  </si>
  <si>
    <t>🟢 확정 · 소계 66개 CAN ID (PRIMARY 8 + 온도 4 + 쿨롱 6 + 셀전압 8 + CUV 8 + COV 8 + CB_Status1 2 + CB_Status2 8 + CB_Status3 8 + Safety 2 + PF 2 + FET(LEGACY) 2)</t>
    <phoneticPr fontId="39" type="noConversion"/>
  </si>
  <si>
    <t>BOT=셀 1~16번, TOP=셀 17~32번(BMS_CAN_ID_명세.xlsx의 셀 채번 기준 대조 완료). 단, 이 번호는 실제 CAN 버스 프레임 ID가 아니며, 실제 CAN ID는 위 표의 0x040~0x06C 계열(BOT, LEGACY 0x123 포함)·0x044~0x07F 계열(TOP, LEGACY 0x223 포함)을 따른다. (2026-07-24 PR#31로 우선순위 기반 연속 대역 재배치)</t>
    <phoneticPr fontId="39" type="noConversion"/>
  </si>
  <si>
    <t>※ 파란색 배경 행(0x040)은 디스플레이(계기장치) 표시 항목에서 사용하는 CAN 데이터다. 자세한 내용은 "디스플레이 표시" 시트 참고.</t>
    <phoneticPr fontId="39" type="noConversion"/>
  </si>
  <si>
    <t>0x330~0x336</t>
    <phoneticPr fontId="39" type="noConversion"/>
  </si>
  <si>
    <t>0x320~0x326</t>
    <phoneticPr fontId="39" type="noConversion"/>
  </si>
  <si>
    <t>0x316</t>
    <phoneticPr fontId="39" type="noConversion"/>
  </si>
  <si>
    <t>0x315</t>
    <phoneticPr fontId="39" type="noConversion"/>
  </si>
  <si>
    <t>0x314</t>
    <phoneticPr fontId="39" type="noConversion"/>
  </si>
  <si>
    <t>0x313</t>
    <phoneticPr fontId="39" type="noConversion"/>
  </si>
  <si>
    <t>0x312</t>
    <phoneticPr fontId="39" type="noConversion"/>
  </si>
  <si>
    <t>0x311</t>
    <phoneticPr fontId="39" type="noConversion"/>
  </si>
  <si>
    <t>0x310</t>
    <phoneticPr fontId="39" type="noConversion"/>
  </si>
  <si>
    <t>#1과 동일 오프셋 구조(base=0x320)</t>
    <phoneticPr fontId="39" type="noConversion"/>
  </si>
  <si>
    <t>#1과 동일 오프셋 구조(base=0x330)</t>
    <phoneticPr fontId="39" type="noConversion"/>
  </si>
  <si>
    <t>🟢 확정 · 소계 21개 CAN ID (2026-07 general_id 0x600→0x300 발주 반영, base 0x310/0x320/0x330 — 로터리 스위치 1/2/3 유지)</t>
    <phoneticPr fontId="39" type="noConversion"/>
  </si>
  <si>
    <t>※ 파란색 배경 행(0x311/0x315)은 디스플레이(계기장치) 표시 항목에서 사용하는 CAN 데이터다. 자세한 내용은 "디스플레이 표시" 시트 참고.</t>
    <phoneticPr fontId="39" type="noConversion"/>
  </si>
  <si>
    <t>0x6FD</t>
    <phoneticPr fontId="39" type="noConversion"/>
  </si>
  <si>
    <t>0x6FC</t>
    <phoneticPr fontId="39" type="noConversion"/>
  </si>
  <si>
    <t>0x6FB</t>
    <phoneticPr fontId="39" type="noConversion"/>
  </si>
  <si>
    <t>0x6FA</t>
    <phoneticPr fontId="39" type="noConversion"/>
  </si>
  <si>
    <t>0x6F9</t>
    <phoneticPr fontId="39" type="noConversion"/>
  </si>
  <si>
    <t>0x6F8</t>
    <phoneticPr fontId="39" type="noConversion"/>
  </si>
  <si>
    <t>0x6F7</t>
    <phoneticPr fontId="39" type="noConversion"/>
  </si>
  <si>
    <t>0x6F6</t>
    <phoneticPr fontId="39" type="noConversion"/>
  </si>
  <si>
    <t>0x6F5</t>
    <phoneticPr fontId="39" type="noConversion"/>
  </si>
  <si>
    <t>0x6F4</t>
    <phoneticPr fontId="39" type="noConversion"/>
  </si>
  <si>
    <t>0x601~0x603</t>
    <phoneticPr fontId="39" type="noConversion"/>
  </si>
  <si>
    <t>고정대역</t>
    <phoneticPr fontId="39" type="noConversion"/>
  </si>
  <si>
    <t>고정대역(가변)</t>
    <phoneticPr fontId="39" type="noConversion"/>
  </si>
  <si>
    <t>0x600</t>
  </si>
  <si>
    <t>DeviceID(u32), SerialNumber(u32)</t>
  </si>
  <si>
    <t>보드 식별 정보(heartbeat). 실시간 주행전략 입력은 아니며, 로그에서 어떤 LV BMS 개체의 데이터인지 식별하는 용도.</t>
  </si>
  <si>
    <t>🟠 잠정 · 소계 14개 CAN ID (heartbeat 1 + CMU 3 + PRIMARY/DETAIL/SD_ONLY 10, 부트로더 고정대역 별도) — base 0x600(Prohelion 공장 기본값), LV_MAX_CMU=1(5S2P) 가정</t>
    <phoneticPr fontId="39" type="noConversion"/>
  </si>
  <si>
    <t>※ 파란색 배경 행(0x6F4, SOC)은 디스플레이(계기장치) 표시 항목에서 사용하는 데이터다. 자세한 내용은 "디스플레이 표시" 시트 참고.</t>
    <phoneticPr fontId="39" type="noConversion"/>
  </si>
  <si>
    <t>BMS(HV) 0x041 Pack_Voltage × 0x042 Pack_Current, Motor 0x402 Bus_Voltage×Bus_Current</t>
    <phoneticPr fontId="39" type="noConversion"/>
  </si>
  <si>
    <t>BMS(HV) 0x042 Pack_Current(쿨롱적분), 0x04E~0x050 / 0x057~0x059 누적 쿨롱카운트, 0x043/0x047 SOC_Permille(2026-07 신규 직접수신)</t>
    <phoneticPr fontId="39" type="noConversion"/>
  </si>
  <si>
    <t>2026-07부터 BMS가 계산한 SOC를 0x043(BOT)/0x047(TOP)로 직접 수신한다(쿨롱카운팅 0x04E~050/057~059은 교차검증용으로 유지). 모델 SOC(OCV·등가회로 추정)는 실측 SOC와 비교해 오차를 검증·보정한다.</t>
    <phoneticPr fontId="39" type="noConversion"/>
  </si>
  <si>
    <t>MPPT 0x311 / 0x321 / 0x331 Output_Voltage×Output_Current (#1~#3 누적 Wh)</t>
    <phoneticPr fontId="39" type="noConversion"/>
  </si>
  <si>
    <t>Motor 0x407 BEMFd/BEMFq, 0x402 Bus_Voltage, BMS 0x042·0x046 MinCell_Voltage</t>
    <phoneticPr fontId="39" type="noConversion"/>
  </si>
  <si>
    <t>BMS(HV) 0x041 / 0x042 Pack_Voltage×Pack_Current (회생 구간)</t>
    <phoneticPr fontId="39" type="noConversion"/>
  </si>
  <si>
    <t>BMS(HV) 0x04C/0x04D/0x055/0x056 CellTemp, Motor 0x40B Motor_Temp/HeatSink_Temp</t>
    <phoneticPr fontId="39" type="noConversion"/>
  </si>
  <si>
    <t>BMS(HV) 0x040(BOT)·0x044(TOP) Global_Fault·BattStat·Alarm, 0x05A/0x05B Safety 상세; BMS(LV) 0x6FB StatusFlags</t>
    <phoneticPr fontId="39" type="noConversion"/>
  </si>
  <si>
    <t>BMS(LV) 0x6FA Pack_Voltage×Pack_Current (PRIMARY)</t>
    <phoneticPr fontId="39" type="noConversion"/>
  </si>
  <si>
    <t>PRIMARY</t>
    <phoneticPr fontId="39" type="noConversion"/>
  </si>
  <si>
    <t>위 매핑은 코드(Functions/Vehicle_Function.py, mpc/mpc_controller.py, Configs/Vehicle_Params.py) 직접 대조 결과이며, Motor는 VCU 미확정으로 여전히 잠정 ID 상태이므로 VCU 스펙 확정 후 재검토가 필요하다(BMS(LV)는 2026-07 CAN ID 확정 완료).</t>
    <phoneticPr fontId="39" type="noConversion"/>
  </si>
  <si>
    <t>BMS(HV) 0x040~0x043(BOT, SOC 포함) / 0x044~0x047(TOP, SOC 포함), Motor 0x402/0x403/0x40B/0x40E, MPPT 0x310/0x311 (#1~3, base 0x310/320/330)</t>
    <phoneticPr fontId="39" type="noConversion"/>
  </si>
  <si>
    <t>온도(0x04C/0x04D/0x055/0x056/0x40B/0x40C), 쿨롱(0x04E~0x050/0x057~0x059), 위상전류·dq성분(0x404~0x406)</t>
    <phoneticPr fontId="39" type="noConversion"/>
  </si>
  <si>
    <t>CUV/COV 스냅샷(0x05D~0x064/0x070~0x077), 밸런싱 상태(0x05C·0x065~0x06C/0x06F·0x078~0x07F), Safety/PF(0x05A/0x05B/0x06D/0x06E)</t>
    <phoneticPr fontId="39" type="noConversion"/>
  </si>
  <si>
    <t>고전압 배터리 BMS 수신 데이터. BOT 스택(셀 1~16번)을 표 상단, TOP 스택(셀 17~32번)을 표 하단에 나눠 정리. 66개 CAN ID, 🟢 확정.</t>
    <phoneticPr fontId="39" type="noConversion"/>
  </si>
  <si>
    <t>저전압(보조) 배터리 팩 수신 데이터. 14개 CAN ID, 🟠 잠정(base 0x600·주요 오프셋 확정, CMU 개수·실물 검증 대기).</t>
    <phoneticPr fontId="39" type="noConversion"/>
  </si>
  <si>
    <t>대분류별 CAN ID 개수·상태 집계표(BMS(HV) 66 · MPPT 21 · Motor 13 · BMS(LV) 14, 합계 114개).</t>
    <phoneticPr fontId="39" type="noConversion"/>
  </si>
  <si>
    <t>BOT 스택 = 셀 1~16번(0x048~0x04B), TOP 스택 = 셀 17~32번(0x051~0x054). 이 1~32번은 BMS_CAN_ID_명세.xlsx의 셀 채번 기준이며, 실제 버스 CAN 프레임 ID(BOT 0x040~0x06C 계열, TOP 0x044~0x07F 계열)와는 다른 별도 번호 체계다. 시트에서는 BOT을 상단, TOP을 하단에 모아 정리했다. (2026-07-24 PR#31 기준 갱신)</t>
    <phoneticPr fontId="39" type="noConversion"/>
  </si>
  <si>
    <t>2026-07부터 BMS가 SOC_Permille을 직접 계산해 0x043(BOT)/0x047(TOP)로 실시간 송신한다 — 더 이상 Pack_Current 적분이나 쿨롱카운터(0x04E~0x050/0x057~0x059) 기반 간접 추정에 의존할 필요가 없다(교차검증 용도로는 계속 활용 가능).</t>
    <phoneticPr fontId="39" type="noConversion"/>
  </si>
  <si>
    <t>VCU 등 상대 스펙 미확정으로 임시 ID를 사용 중이거나(Motor), 실물 검증이 남아있는(BMS(LV)) 항목.</t>
    <phoneticPr fontId="39" type="noConversion"/>
  </si>
  <si>
    <t>CAN ID와 상세 스펙이 정해지지 않아 필요한 데이터 항목만 정리된 상태 (2026-07 기준 해당 시트 없음 — BMS(LV)도 ID 확정되어 🟠 잠정으로 전환됨).</t>
    <phoneticPr fontId="39" type="noConversion"/>
  </si>
  <si>
    <t>계기장치 표시 항목 14종과 표시용 CAN 송수신 데이터를 정리했으며, CAN ID가 있는 항목 중 6건은 BMS(HV)/MPPT/Motor/BMS(LV)와 대조하여 구분·CAN ID를 확정(BMS(LV) SOC는 2026-07 0x6F4로 확정). 나머지는 소스 미확정으로 미정 유지.</t>
    <phoneticPr fontId="39" type="noConversion"/>
  </si>
  <si>
    <t>🟠 잠정</t>
    <phoneticPr fontId="39" type="noConversion"/>
  </si>
  <si>
    <t>※ 파란색 구분값은 CAN_수신_데이터_정리본과 대조하여 채운 값. CAN ID가 있는 항목(0x315/0x311/0x040/0x401/0x402)은 BMS(HV)/MPPT/Motor 시트와 ID로 대조했고, BMS(LV) SOC 항목(0x6F4)도 2026-07 ID 확정 후 대조 완료. 나머지 "미정"은 대조할 CAN ID·항목이 아직 없어 확인 불가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</si>
</sst>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name val="Calibri"/>
      <charset val="1"/>
    </font>
    <font>
      <b/>
      <sz val="16"/>
      <color rgb="FF1F4E78"/>
      <name val="Noto Sans CJK SC"/>
      <charset val="1"/>
    </font>
    <font>
      <sz val="10"/>
      <color rgb="FF808080"/>
      <name val="Noto Sans CJK SC"/>
      <charset val="1"/>
    </font>
    <font>
      <sz val="10"/>
      <color rgb="FF000000"/>
      <name val="Malgun Gothic"/>
      <family val="3"/>
      <charset val="129"/>
    </font>
    <font>
      <b/>
      <sz val="11"/>
      <color rgb="FF1F4E78"/>
      <name val="Noto Sans CJK SC"/>
      <charset val="1"/>
    </font>
    <font>
      <b/>
      <sz val="10"/>
      <color rgb="FF000000"/>
      <name val="Noto Sans CJK SC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Malgun Gothic"/>
      <family val="3"/>
      <charset val="129"/>
    </font>
    <font>
      <sz val="10"/>
      <color rgb="FF000000"/>
      <name val="Noto Sans CJK SC"/>
      <family val="2"/>
    </font>
    <font>
      <b/>
      <sz val="10"/>
      <color rgb="FF000000"/>
      <name val="Malgun Gothic"/>
      <family val="3"/>
      <charset val="129"/>
    </font>
    <font>
      <b/>
      <sz val="10"/>
      <color rgb="FF000000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Malgun Gothic"/>
      <family val="3"/>
      <charset val="129"/>
    </font>
    <font>
      <sz val="9"/>
      <color rgb="FF555555"/>
      <name val="Malgun Gothic"/>
      <family val="3"/>
      <charset val="129"/>
    </font>
    <font>
      <sz val="9"/>
      <color rgb="FF555555"/>
      <name val="Noto Sans CJK SC"/>
      <family val="2"/>
    </font>
    <font>
      <i/>
      <sz val="9"/>
      <color rgb="FF1F4E78"/>
      <name val="Noto Sans CJK SC"/>
      <charset val="1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sz val="10"/>
      <color rgb="FF1F1F1F"/>
      <name val="맑은 고딕"/>
      <family val="3"/>
      <charset val="129"/>
    </font>
    <font>
      <sz val="10"/>
      <color rgb="FF1F1F1F"/>
      <name val="Noto Sans CJK SC"/>
      <family val="2"/>
      <charset val="1"/>
    </font>
    <font>
      <b/>
      <sz val="10"/>
      <color rgb="FF1F1F1F"/>
      <name val="Noto Sans CJK SC"/>
      <family val="2"/>
      <charset val="1"/>
    </font>
    <font>
      <b/>
      <sz val="10"/>
      <color rgb="FF1F1F1F"/>
      <name val="맑은 고딕"/>
      <family val="3"/>
      <charset val="129"/>
    </font>
    <font>
      <b/>
      <sz val="16"/>
      <color rgb="FFFFFFFF"/>
      <name val="Noto Sans CJK SC"/>
      <family val="2"/>
      <charset val="1"/>
    </font>
    <font>
      <sz val="10"/>
      <color rgb="FF7F7F7F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b/>
      <sz val="11"/>
      <color rgb="FFFFFFFF"/>
      <name val="Noto Sans CJK SC"/>
      <family val="2"/>
    </font>
    <font>
      <sz val="10"/>
      <color rgb="FF1F1F1F"/>
      <name val="Noto Sans CJK SC"/>
      <family val="3"/>
      <charset val="129"/>
    </font>
    <font>
      <b/>
      <sz val="10"/>
      <color rgb="FF1F1F1F"/>
      <name val="Noto Sans CJK SC"/>
      <family val="2"/>
    </font>
    <font>
      <sz val="10"/>
      <color rgb="FF1F1F1F"/>
      <name val="Noto Sans CJK SC"/>
      <family val="2"/>
    </font>
    <font>
      <b/>
      <sz val="11"/>
      <color rgb="FF1F4E78"/>
      <name val="맑은 고딕"/>
      <family val="3"/>
      <charset val="129"/>
    </font>
    <font>
      <b/>
      <sz val="10"/>
      <color rgb="FF9C0006"/>
      <name val="Noto Sans CJK SC"/>
      <family val="2"/>
      <charset val="1"/>
    </font>
    <font>
      <sz val="9"/>
      <color rgb="FF1F1F1F"/>
      <name val="맑은 고딕"/>
      <family val="3"/>
      <charset val="129"/>
    </font>
    <font>
      <b/>
      <sz val="10"/>
      <color rgb="FFFFFFFF"/>
      <name val="Noto Sans CJK SC"/>
      <family val="3"/>
      <charset val="129"/>
    </font>
    <font>
      <sz val="9"/>
      <color rgb="FF555555"/>
      <name val="Noto Sans CJK SC"/>
      <family val="2"/>
      <charset val="1"/>
    </font>
    <font>
      <sz val="10"/>
      <color rgb="FF000000"/>
      <name val="Noto Sans CJK SC"/>
      <family val="3"/>
      <charset val="129"/>
    </font>
    <font>
      <b/>
      <sz val="10"/>
      <color rgb="FFFFFFFF"/>
      <name val="Noto Sans CJK SC"/>
      <charset val="1"/>
    </font>
    <font>
      <i/>
      <sz val="9"/>
      <color rgb="FFC00000"/>
      <name val="Noto Sans CJK SC"/>
      <charset val="1"/>
    </font>
    <font>
      <sz val="10"/>
      <color rgb="FF1F4E78"/>
      <name val="Malgun Gothic"/>
      <family val="3"/>
      <charset val="129"/>
    </font>
    <font>
      <i/>
      <sz val="9"/>
      <color rgb="FF808080"/>
      <name val="Noto Sans CJK SC"/>
      <charset val="1"/>
    </font>
    <font>
      <sz val="8"/>
      <name val="돋움"/>
      <family val="3"/>
      <charset val="129"/>
    </font>
    <font>
      <sz val="10"/>
      <color rgb="FFFF0000"/>
      <name val="Malgun Gothic"/>
      <family val="3"/>
      <charset val="129"/>
    </font>
    <font>
      <sz val="10"/>
      <color rgb="FF808080"/>
      <name val="맑은 고딕"/>
      <family val="3"/>
      <charset val="129"/>
    </font>
    <font>
      <sz val="10"/>
      <color rgb="FF808080"/>
      <name val="Arial"/>
      <family val="2"/>
    </font>
    <font>
      <sz val="10"/>
      <color rgb="FF808080"/>
      <name val="Noto Sans CJK SC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8F5"/>
        <bgColor rgb="FFD9EAF7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EAF2F8"/>
      </patternFill>
    </fill>
    <fill>
      <patternFill patternType="solid">
        <fgColor rgb="FFF2F2F2"/>
        <bgColor rgb="FFEAF2F8"/>
      </patternFill>
    </fill>
    <fill>
      <patternFill patternType="solid">
        <fgColor rgb="FFFCE4D6"/>
        <bgColor rgb="FFFFF2CC"/>
      </patternFill>
    </fill>
    <fill>
      <patternFill patternType="solid">
        <fgColor rgb="FFD9EAF7"/>
        <bgColor rgb="FFD9E8F5"/>
      </patternFill>
    </fill>
    <fill>
      <patternFill patternType="solid">
        <fgColor rgb="FFFFFFFF"/>
        <bgColor rgb="FFF2F2F2"/>
      </patternFill>
    </fill>
    <fill>
      <patternFill patternType="solid">
        <fgColor rgb="FF2F75B5"/>
        <bgColor rgb="FF0066CC"/>
      </patternFill>
    </fill>
    <fill>
      <patternFill patternType="solid">
        <fgColor rgb="FFEAF2F8"/>
        <bgColor rgb="FFF2F2F2"/>
      </patternFill>
    </fill>
    <fill>
      <patternFill patternType="solid">
        <fgColor rgb="FFD9E8F5"/>
        <bgColor rgb="FFFCE4D6"/>
      </patternFill>
    </fill>
  </fills>
  <borders count="3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rgb="FFBFBFBF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thin">
        <color theme="2" tint="-0.249977111117893"/>
      </right>
      <top/>
      <bottom style="medium">
        <color rgb="FF1F4E78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rgb="FF1F4E78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rgb="FFBFBFBF"/>
      </left>
      <right style="thin">
        <color rgb="FFBFBFBF"/>
      </right>
      <top style="thin">
        <color theme="2" tint="-0.249977111117893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2" tint="-0.249977111117893"/>
      </right>
      <top style="thin">
        <color theme="1" tint="0.49989318521683401"/>
      </top>
      <bottom style="thin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3" fillId="0" borderId="7" xfId="0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6" fillId="0" borderId="12" xfId="0" applyFont="1" applyBorder="1" applyAlignment="1">
      <alignment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6" fillId="4" borderId="14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4" borderId="15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vertical="center" wrapText="1"/>
    </xf>
    <xf numFmtId="0" fontId="6" fillId="4" borderId="16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49" fontId="3" fillId="0" borderId="18" xfId="0" applyNumberFormat="1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4" borderId="20" xfId="0" applyFont="1" applyFill="1" applyBorder="1" applyAlignment="1">
      <alignment horizontal="left" vertical="center" wrapText="1"/>
    </xf>
    <xf numFmtId="0" fontId="0" fillId="0" borderId="21" xfId="0" applyBorder="1"/>
    <xf numFmtId="0" fontId="0" fillId="0" borderId="13" xfId="0" applyBorder="1"/>
    <xf numFmtId="0" fontId="3" fillId="4" borderId="10" xfId="0" applyFont="1" applyFill="1" applyBorder="1" applyAlignment="1">
      <alignment horizontal="left" vertical="center" wrapText="1"/>
    </xf>
    <xf numFmtId="0" fontId="0" fillId="0" borderId="15" xfId="0" applyBorder="1"/>
    <xf numFmtId="0" fontId="0" fillId="0" borderId="22" xfId="0" applyBorder="1"/>
    <xf numFmtId="0" fontId="0" fillId="0" borderId="8" xfId="0" applyBorder="1"/>
    <xf numFmtId="0" fontId="3" fillId="4" borderId="23" xfId="0" applyFont="1" applyFill="1" applyBorder="1" applyAlignment="1">
      <alignment horizontal="left" vertical="center" wrapText="1"/>
    </xf>
    <xf numFmtId="0" fontId="0" fillId="0" borderId="24" xfId="0" applyBorder="1"/>
    <xf numFmtId="0" fontId="3" fillId="4" borderId="6" xfId="0" applyFont="1" applyFill="1" applyBorder="1" applyAlignment="1">
      <alignment horizontal="left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49" fontId="6" fillId="0" borderId="5" xfId="0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9" borderId="29" xfId="0" applyFont="1" applyFill="1" applyBorder="1" applyAlignment="1">
      <alignment horizontal="center" vertical="center"/>
    </xf>
    <xf numFmtId="0" fontId="18" fillId="9" borderId="0" xfId="0" applyFont="1" applyFill="1" applyAlignment="1">
      <alignment vertical="center"/>
    </xf>
    <xf numFmtId="0" fontId="31" fillId="0" borderId="0" xfId="0" applyFont="1" applyAlignment="1">
      <alignment vertical="center" wrapText="1"/>
    </xf>
    <xf numFmtId="2" fontId="31" fillId="0" borderId="0" xfId="0" applyNumberFormat="1" applyFont="1" applyAlignment="1">
      <alignment vertical="center" wrapText="1"/>
    </xf>
    <xf numFmtId="1" fontId="31" fillId="0" borderId="0" xfId="0" applyNumberFormat="1" applyFont="1" applyAlignment="1">
      <alignment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35" fillId="2" borderId="26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left" vertical="center" wrapText="1"/>
    </xf>
    <xf numFmtId="0" fontId="7" fillId="4" borderId="26" xfId="0" applyFont="1" applyFill="1" applyBorder="1" applyAlignment="1">
      <alignment horizontal="left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left" vertical="center" wrapText="1"/>
    </xf>
    <xf numFmtId="0" fontId="37" fillId="3" borderId="26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left" vertical="center" wrapText="1"/>
    </xf>
    <xf numFmtId="0" fontId="37" fillId="0" borderId="26" xfId="0" applyFont="1" applyBorder="1" applyAlignment="1">
      <alignment horizontal="center" vertical="center" wrapText="1"/>
    </xf>
    <xf numFmtId="0" fontId="7" fillId="12" borderId="26" xfId="0" applyFont="1" applyFill="1" applyBorder="1" applyAlignment="1">
      <alignment horizontal="left" vertical="center" wrapText="1"/>
    </xf>
    <xf numFmtId="0" fontId="6" fillId="12" borderId="26" xfId="0" applyFont="1" applyFill="1" applyBorder="1" applyAlignment="1">
      <alignment horizontal="left" vertical="center" wrapText="1"/>
    </xf>
    <xf numFmtId="0" fontId="3" fillId="3" borderId="31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vertical="center" wrapText="1"/>
    </xf>
    <xf numFmtId="49" fontId="3" fillId="3" borderId="32" xfId="0" applyNumberFormat="1" applyFont="1" applyFill="1" applyBorder="1" applyAlignment="1">
      <alignment vertical="center" wrapText="1"/>
    </xf>
    <xf numFmtId="0" fontId="6" fillId="3" borderId="32" xfId="0" applyFont="1" applyFill="1" applyBorder="1" applyAlignment="1">
      <alignment vertical="center" wrapText="1"/>
    </xf>
    <xf numFmtId="49" fontId="6" fillId="3" borderId="32" xfId="0" applyNumberFormat="1" applyFont="1" applyFill="1" applyBorder="1" applyAlignment="1">
      <alignment vertical="center" wrapText="1"/>
    </xf>
    <xf numFmtId="0" fontId="3" fillId="3" borderId="32" xfId="0" applyFont="1" applyFill="1" applyBorder="1" applyAlignment="1">
      <alignment horizontal="left" vertical="center" wrapText="1"/>
    </xf>
    <xf numFmtId="0" fontId="0" fillId="0" borderId="32" xfId="0" applyBorder="1"/>
    <xf numFmtId="0" fontId="6" fillId="3" borderId="32" xfId="0" applyFont="1" applyFill="1" applyBorder="1" applyAlignment="1">
      <alignment horizontal="left" vertical="center" wrapText="1"/>
    </xf>
    <xf numFmtId="0" fontId="40" fillId="0" borderId="26" xfId="0" applyFont="1" applyBorder="1" applyAlignment="1">
      <alignment horizontal="center" vertical="center" wrapText="1"/>
    </xf>
    <xf numFmtId="0" fontId="10" fillId="5" borderId="25" xfId="0" applyFont="1" applyFill="1" applyBorder="1" applyAlignment="1">
      <alignment vertical="center" wrapText="1"/>
    </xf>
    <xf numFmtId="0" fontId="13" fillId="6" borderId="26" xfId="0" applyFont="1" applyFill="1" applyBorder="1" applyAlignment="1">
      <alignment vertical="center" wrapText="1"/>
    </xf>
    <xf numFmtId="0" fontId="15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0" fillId="7" borderId="26" xfId="0" applyFont="1" applyFill="1" applyBorder="1" applyAlignment="1">
      <alignment vertical="center" wrapText="1"/>
    </xf>
    <xf numFmtId="0" fontId="10" fillId="5" borderId="26" xfId="0" applyFont="1" applyFill="1" applyBorder="1" applyAlignment="1">
      <alignment vertical="center" wrapText="1"/>
    </xf>
    <xf numFmtId="0" fontId="22" fillId="2" borderId="28" xfId="0" applyFont="1" applyFill="1" applyBorder="1" applyAlignment="1">
      <alignment horizontal="center" vertical="center"/>
    </xf>
    <xf numFmtId="0" fontId="23" fillId="9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center" vertical="center"/>
    </xf>
    <xf numFmtId="0" fontId="11" fillId="10" borderId="29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 wrapText="1"/>
    </xf>
    <xf numFmtId="0" fontId="21" fillId="5" borderId="30" xfId="0" applyFont="1" applyFill="1" applyBorder="1" applyAlignment="1">
      <alignment horizontal="center" vertical="center" wrapText="1"/>
    </xf>
    <xf numFmtId="0" fontId="26" fillId="5" borderId="0" xfId="0" applyFont="1" applyFill="1" applyAlignment="1">
      <alignment vertical="center" wrapText="1"/>
    </xf>
    <xf numFmtId="0" fontId="21" fillId="9" borderId="0" xfId="0" applyFont="1" applyFill="1" applyAlignment="1">
      <alignment vertical="center" wrapText="1"/>
    </xf>
    <xf numFmtId="0" fontId="18" fillId="9" borderId="0" xfId="0" applyFont="1" applyFill="1" applyAlignment="1">
      <alignment vertical="center" wrapText="1"/>
    </xf>
    <xf numFmtId="0" fontId="19" fillId="9" borderId="0" xfId="0" applyFont="1" applyFill="1" applyAlignment="1">
      <alignment vertical="center" wrapText="1"/>
    </xf>
    <xf numFmtId="0" fontId="20" fillId="5" borderId="0" xfId="0" applyFont="1" applyFill="1" applyAlignment="1">
      <alignment vertical="center" wrapText="1"/>
    </xf>
    <xf numFmtId="0" fontId="19" fillId="5" borderId="0" xfId="0" applyFont="1" applyFill="1" applyAlignment="1">
      <alignment vertical="center" wrapText="1"/>
    </xf>
    <xf numFmtId="0" fontId="20" fillId="9" borderId="0" xfId="0" applyFont="1" applyFill="1" applyAlignment="1">
      <alignment vertical="center" wrapText="1"/>
    </xf>
    <xf numFmtId="0" fontId="18" fillId="5" borderId="0" xfId="0" applyFont="1" applyFill="1" applyAlignment="1">
      <alignment vertical="center" wrapText="1"/>
    </xf>
    <xf numFmtId="0" fontId="29" fillId="8" borderId="0" xfId="0" applyFont="1" applyFill="1" applyAlignment="1">
      <alignment horizontal="center" vertical="center" wrapText="1"/>
    </xf>
    <xf numFmtId="0" fontId="18" fillId="11" borderId="0" xfId="0" applyFont="1" applyFill="1" applyAlignment="1">
      <alignment vertical="center" wrapText="1"/>
    </xf>
    <xf numFmtId="0" fontId="19" fillId="11" borderId="0" xfId="0" applyFont="1" applyFill="1" applyAlignment="1">
      <alignment vertical="center" wrapText="1"/>
    </xf>
    <xf numFmtId="0" fontId="21" fillId="5" borderId="0" xfId="0" applyFont="1" applyFill="1" applyAlignment="1">
      <alignment vertical="center" wrapText="1"/>
    </xf>
    <xf numFmtId="0" fontId="20" fillId="4" borderId="0" xfId="0" applyFont="1" applyFill="1" applyAlignment="1">
      <alignment horizontal="center" vertical="center" wrapText="1"/>
    </xf>
    <xf numFmtId="0" fontId="30" fillId="7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vertical="center" wrapText="1"/>
    </xf>
    <xf numFmtId="0" fontId="18" fillId="7" borderId="0" xfId="0" applyFont="1" applyFill="1" applyAlignment="1">
      <alignment vertical="center" wrapText="1"/>
    </xf>
    <xf numFmtId="0" fontId="19" fillId="7" borderId="0" xfId="0" applyFont="1" applyFill="1" applyAlignment="1">
      <alignment horizontal="center" vertical="center" wrapText="1"/>
    </xf>
    <xf numFmtId="0" fontId="21" fillId="11" borderId="0" xfId="0" applyFont="1" applyFill="1" applyAlignment="1">
      <alignment vertical="center" wrapText="1"/>
    </xf>
    <xf numFmtId="0" fontId="19" fillId="11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3" fillId="6" borderId="26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left" vertical="center" wrapText="1"/>
    </xf>
    <xf numFmtId="0" fontId="6" fillId="4" borderId="32" xfId="0" applyFont="1" applyFill="1" applyBorder="1" applyAlignment="1">
      <alignment horizontal="left" vertical="center" wrapText="1"/>
    </xf>
    <xf numFmtId="0" fontId="34" fillId="0" borderId="0" xfId="0" applyFont="1" applyAlignment="1">
      <alignment vertical="center" wrapText="1"/>
    </xf>
    <xf numFmtId="0" fontId="36" fillId="0" borderId="0" xfId="0" applyFont="1"/>
    <xf numFmtId="0" fontId="38" fillId="0" borderId="0" xfId="0" applyFont="1"/>
    <xf numFmtId="0" fontId="1" fillId="0" borderId="0" xfId="0" applyFont="1"/>
    <xf numFmtId="0" fontId="43" fillId="0" borderId="0" xfId="0" applyFont="1"/>
    <xf numFmtId="0" fontId="2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AEAEAE"/>
      <rgbColor rgb="FF993366"/>
      <rgbColor rgb="FFFFF2CC"/>
      <rgbColor rgb="FFD9EAF7"/>
      <rgbColor rgb="FF660066"/>
      <rgbColor rgb="FFFF8080"/>
      <rgbColor rgb="FF0066CC"/>
      <rgbColor rgb="FFEAF2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E2F0D9"/>
      <rgbColor rgb="FFF2F2F2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FF6600"/>
      <rgbColor rgb="FF555555"/>
      <rgbColor rgb="FF7F7F7F"/>
      <rgbColor rgb="FF003366"/>
      <rgbColor rgb="FF339966"/>
      <rgbColor rgb="FF003300"/>
      <rgbColor rgb="FF333300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E8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163080</xdr:rowOff>
    </xdr:from>
    <xdr:to>
      <xdr:col>3</xdr:col>
      <xdr:colOff>1837800</xdr:colOff>
      <xdr:row>41</xdr:row>
      <xdr:rowOff>120960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687640"/>
          <a:ext cx="6701400" cy="376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</xdr:row>
      <xdr:rowOff>163080</xdr:rowOff>
    </xdr:from>
    <xdr:to>
      <xdr:col>1</xdr:col>
      <xdr:colOff>2615040</xdr:colOff>
      <xdr:row>65</xdr:row>
      <xdr:rowOff>82800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0069200"/>
          <a:ext cx="3319920" cy="3920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zoomScaleNormal="100" workbookViewId="0">
      <selection activeCell="A16" sqref="A16"/>
    </sheetView>
  </sheetViews>
  <sheetFormatPr defaultColWidth="8.6640625" defaultRowHeight="14.4"/>
  <cols>
    <col min="1" max="1" width="23" customWidth="1"/>
    <col min="2" max="2" width="105" customWidth="1"/>
  </cols>
  <sheetData>
    <row r="1" spans="1:2" ht="25.5" customHeight="1">
      <c r="A1" s="99" t="s">
        <v>0</v>
      </c>
      <c r="B1" s="99"/>
    </row>
    <row r="2" spans="1:2" ht="18" customHeight="1">
      <c r="A2" s="100" t="s">
        <v>1</v>
      </c>
      <c r="B2" s="100"/>
    </row>
    <row r="3" spans="1:2" ht="7.5" customHeight="1">
      <c r="A3" s="1"/>
      <c r="B3" s="1"/>
    </row>
    <row r="4" spans="1:2" ht="19.5" customHeight="1">
      <c r="A4" s="98" t="s">
        <v>2</v>
      </c>
      <c r="B4" s="98"/>
    </row>
    <row r="5" spans="1:2" ht="37.5" customHeight="1">
      <c r="A5" s="2" t="s">
        <v>3</v>
      </c>
      <c r="B5" s="3" t="s">
        <v>597</v>
      </c>
    </row>
    <row r="6" spans="1:2" ht="19.5" customHeight="1">
      <c r="A6" s="2" t="s">
        <v>4</v>
      </c>
      <c r="B6" s="3" t="s">
        <v>598</v>
      </c>
    </row>
    <row r="7" spans="1:2" ht="19.5" customHeight="1">
      <c r="A7" s="2" t="s">
        <v>5</v>
      </c>
      <c r="B7" s="3" t="s">
        <v>6</v>
      </c>
    </row>
    <row r="8" spans="1:2" ht="37.5" customHeight="1">
      <c r="A8" s="2" t="s">
        <v>7</v>
      </c>
      <c r="B8" s="3" t="s">
        <v>8</v>
      </c>
    </row>
    <row r="9" spans="1:2" ht="37.5" customHeight="1">
      <c r="A9" s="2" t="s">
        <v>9</v>
      </c>
      <c r="B9" s="3" t="s">
        <v>10</v>
      </c>
    </row>
    <row r="10" spans="1:2" ht="37.5" customHeight="1">
      <c r="A10" s="2" t="s">
        <v>11</v>
      </c>
      <c r="B10" s="4" t="s">
        <v>12</v>
      </c>
    </row>
    <row r="11" spans="1:2" ht="37.5" customHeight="1">
      <c r="A11" s="2" t="s">
        <v>13</v>
      </c>
      <c r="B11" s="3" t="s">
        <v>14</v>
      </c>
    </row>
    <row r="12" spans="1:2" ht="19.5" customHeight="1">
      <c r="A12" s="2" t="s">
        <v>15</v>
      </c>
      <c r="B12" s="3" t="s">
        <v>599</v>
      </c>
    </row>
    <row r="13" spans="1:2" ht="7.5" customHeight="1">
      <c r="A13" s="1"/>
      <c r="B13" s="1"/>
    </row>
    <row r="14" spans="1:2" ht="19.5" customHeight="1">
      <c r="A14" s="98" t="s">
        <v>16</v>
      </c>
      <c r="B14" s="98"/>
    </row>
    <row r="15" spans="1:2" ht="37.5" customHeight="1">
      <c r="A15" s="2" t="s">
        <v>17</v>
      </c>
      <c r="B15" s="4" t="s">
        <v>18</v>
      </c>
    </row>
    <row r="16" spans="1:2" ht="57" customHeight="1">
      <c r="A16" s="2" t="s">
        <v>19</v>
      </c>
      <c r="B16" s="4" t="s">
        <v>600</v>
      </c>
    </row>
    <row r="17" spans="1:2" ht="37.5" customHeight="1">
      <c r="A17" s="2" t="s">
        <v>20</v>
      </c>
      <c r="B17" s="4" t="s">
        <v>601</v>
      </c>
    </row>
    <row r="18" spans="1:2" ht="7.5" customHeight="1">
      <c r="A18" s="1"/>
      <c r="B18" s="1"/>
    </row>
    <row r="19" spans="1:2" ht="19.5" customHeight="1">
      <c r="A19" s="98" t="s">
        <v>21</v>
      </c>
      <c r="B19" s="98"/>
    </row>
    <row r="20" spans="1:2" ht="19.5" customHeight="1">
      <c r="A20" s="2" t="s">
        <v>22</v>
      </c>
      <c r="B20" s="3" t="s">
        <v>23</v>
      </c>
    </row>
    <row r="21" spans="1:2" ht="19.5" customHeight="1">
      <c r="A21" s="2" t="s">
        <v>24</v>
      </c>
      <c r="B21" s="4" t="s">
        <v>602</v>
      </c>
    </row>
    <row r="22" spans="1:2" ht="19.5" customHeight="1">
      <c r="A22" s="2" t="s">
        <v>25</v>
      </c>
      <c r="B22" s="4" t="s">
        <v>603</v>
      </c>
    </row>
    <row r="23" spans="1:2" ht="7.5" customHeight="1">
      <c r="A23" s="5"/>
      <c r="B23" s="3"/>
    </row>
    <row r="24" spans="1:2" ht="19.5" customHeight="1">
      <c r="A24" s="98" t="s">
        <v>26</v>
      </c>
      <c r="B24" s="98"/>
    </row>
    <row r="25" spans="1:2" ht="19.5" customHeight="1">
      <c r="A25" s="2" t="s">
        <v>27</v>
      </c>
      <c r="B25" s="3" t="s">
        <v>28</v>
      </c>
    </row>
    <row r="26" spans="1:2" ht="19.5" customHeight="1">
      <c r="A26" s="2" t="s">
        <v>29</v>
      </c>
      <c r="B26" s="3" t="s">
        <v>30</v>
      </c>
    </row>
    <row r="27" spans="1:2" ht="19.5" customHeight="1">
      <c r="A27" s="2" t="s">
        <v>31</v>
      </c>
      <c r="B27" s="3" t="s">
        <v>32</v>
      </c>
    </row>
    <row r="28" spans="1:2" ht="7.5" customHeight="1">
      <c r="A28" s="6"/>
      <c r="B28" s="3"/>
    </row>
    <row r="29" spans="1:2" ht="19.5" customHeight="1">
      <c r="A29" s="98" t="s">
        <v>33</v>
      </c>
      <c r="B29" s="98"/>
    </row>
    <row r="30" spans="1:2" ht="37.5" customHeight="1">
      <c r="A30" s="2" t="s">
        <v>34</v>
      </c>
      <c r="B30" s="3" t="s">
        <v>35</v>
      </c>
    </row>
    <row r="31" spans="1:2" ht="37.5" customHeight="1">
      <c r="A31" s="2" t="s">
        <v>36</v>
      </c>
      <c r="B31" s="3" t="s">
        <v>37</v>
      </c>
    </row>
    <row r="32" spans="1:2" ht="19.5" customHeight="1">
      <c r="A32" s="2" t="s">
        <v>38</v>
      </c>
      <c r="B32" s="3" t="s">
        <v>39</v>
      </c>
    </row>
    <row r="33" spans="1:2" ht="37.5" customHeight="1">
      <c r="A33" s="2" t="s">
        <v>40</v>
      </c>
      <c r="B33" s="3" t="s">
        <v>41</v>
      </c>
    </row>
    <row r="34" spans="1:2" ht="37.5" customHeight="1">
      <c r="A34" s="2" t="s">
        <v>42</v>
      </c>
      <c r="B34" s="4" t="s">
        <v>43</v>
      </c>
    </row>
    <row r="35" spans="1:2" ht="37.5" customHeight="1">
      <c r="A35" s="2" t="s">
        <v>44</v>
      </c>
      <c r="B35" s="3" t="s">
        <v>45</v>
      </c>
    </row>
    <row r="36" spans="1:2" ht="19.5" customHeight="1">
      <c r="A36" s="2" t="s">
        <v>46</v>
      </c>
      <c r="B36" s="3" t="s">
        <v>47</v>
      </c>
    </row>
    <row r="37" spans="1:2" ht="37.5" customHeight="1">
      <c r="A37" s="2" t="s">
        <v>48</v>
      </c>
      <c r="B37" s="3" t="s">
        <v>49</v>
      </c>
    </row>
    <row r="38" spans="1:2" ht="37.5" customHeight="1">
      <c r="A38" s="2" t="s">
        <v>50</v>
      </c>
      <c r="B38" s="3" t="s">
        <v>51</v>
      </c>
    </row>
    <row r="39" spans="1:2" ht="19.5" customHeight="1">
      <c r="A39" s="2" t="s">
        <v>52</v>
      </c>
      <c r="B39" s="3" t="s">
        <v>53</v>
      </c>
    </row>
    <row r="40" spans="1:2" ht="7.5" customHeight="1"/>
    <row r="41" spans="1:2" ht="19.5" customHeight="1">
      <c r="A41" s="98" t="s">
        <v>54</v>
      </c>
      <c r="B41" s="98"/>
    </row>
    <row r="42" spans="1:2" ht="37.5" customHeight="1">
      <c r="A42" s="2" t="s">
        <v>55</v>
      </c>
      <c r="B42" s="3" t="s">
        <v>56</v>
      </c>
    </row>
    <row r="43" spans="1:2" ht="57" customHeight="1">
      <c r="A43" s="2" t="s">
        <v>57</v>
      </c>
      <c r="B43" s="3" t="s">
        <v>604</v>
      </c>
    </row>
  </sheetData>
  <mergeCells count="8">
    <mergeCell ref="A24:B24"/>
    <mergeCell ref="A29:B29"/>
    <mergeCell ref="A41:B41"/>
    <mergeCell ref="A1:B1"/>
    <mergeCell ref="A2:B2"/>
    <mergeCell ref="A4:B4"/>
    <mergeCell ref="A14:B14"/>
    <mergeCell ref="A19:B19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8"/>
  <sheetViews>
    <sheetView tabSelected="1" zoomScaleNormal="100" workbookViewId="0">
      <selection activeCell="A5" sqref="A5:XFD5"/>
    </sheetView>
  </sheetViews>
  <sheetFormatPr defaultColWidth="8.6640625" defaultRowHeight="14.4"/>
  <cols>
    <col min="1" max="1" width="9" customWidth="1"/>
    <col min="2" max="3" width="18" customWidth="1"/>
    <col min="4" max="4" width="50" customWidth="1"/>
    <col min="5" max="5" width="52" customWidth="1"/>
    <col min="6" max="6" width="62" customWidth="1"/>
  </cols>
  <sheetData>
    <row r="1" spans="1:7" ht="24" customHeight="1">
      <c r="A1" s="84" t="s">
        <v>58</v>
      </c>
      <c r="B1" s="85" t="s">
        <v>59</v>
      </c>
      <c r="C1" s="86" t="s">
        <v>60</v>
      </c>
      <c r="D1" s="85" t="s">
        <v>61</v>
      </c>
      <c r="E1" s="85" t="s">
        <v>62</v>
      </c>
      <c r="F1" s="10" t="s">
        <v>63</v>
      </c>
    </row>
    <row r="2" spans="1:7" ht="44.25" customHeight="1">
      <c r="A2" s="87" t="s">
        <v>64</v>
      </c>
      <c r="B2" s="87" t="s">
        <v>27</v>
      </c>
      <c r="C2" s="88" t="s">
        <v>523</v>
      </c>
      <c r="D2" s="87" t="s">
        <v>65</v>
      </c>
      <c r="E2" s="89" t="s">
        <v>66</v>
      </c>
      <c r="F2" s="83" t="s">
        <v>67</v>
      </c>
      <c r="G2" s="11"/>
    </row>
    <row r="3" spans="1:7" ht="44.25" customHeight="1">
      <c r="A3" s="12" t="s">
        <v>64</v>
      </c>
      <c r="B3" s="1" t="s">
        <v>27</v>
      </c>
      <c r="C3" s="13" t="s">
        <v>522</v>
      </c>
      <c r="D3" s="1" t="s">
        <v>68</v>
      </c>
      <c r="E3" s="14" t="s">
        <v>69</v>
      </c>
      <c r="F3" s="15" t="s">
        <v>70</v>
      </c>
    </row>
    <row r="4" spans="1:7" ht="44.25" customHeight="1">
      <c r="A4" s="12" t="s">
        <v>64</v>
      </c>
      <c r="B4" s="1" t="s">
        <v>27</v>
      </c>
      <c r="C4" s="13" t="s">
        <v>521</v>
      </c>
      <c r="D4" s="1" t="s">
        <v>71</v>
      </c>
      <c r="E4" s="3" t="s">
        <v>72</v>
      </c>
      <c r="F4" s="16" t="s">
        <v>533</v>
      </c>
      <c r="G4" s="17"/>
    </row>
    <row r="5" spans="1:7" ht="44.25" customHeight="1">
      <c r="A5" s="12" t="s">
        <v>64</v>
      </c>
      <c r="B5" s="1" t="s">
        <v>27</v>
      </c>
      <c r="C5" s="13" t="s">
        <v>546</v>
      </c>
      <c r="D5" s="1" t="s">
        <v>540</v>
      </c>
      <c r="E5" s="3" t="s">
        <v>547</v>
      </c>
      <c r="F5" s="16" t="s">
        <v>548</v>
      </c>
      <c r="G5" s="17"/>
    </row>
    <row r="6" spans="1:7" ht="44.25" customHeight="1">
      <c r="A6" s="12" t="s">
        <v>64</v>
      </c>
      <c r="B6" s="1" t="s">
        <v>73</v>
      </c>
      <c r="C6" s="13" t="s">
        <v>520</v>
      </c>
      <c r="D6" s="1" t="s">
        <v>74</v>
      </c>
      <c r="E6" s="3" t="s">
        <v>75</v>
      </c>
      <c r="F6" s="16" t="s">
        <v>76</v>
      </c>
    </row>
    <row r="7" spans="1:7" ht="44.25" customHeight="1">
      <c r="A7" s="12" t="s">
        <v>64</v>
      </c>
      <c r="B7" s="1" t="s">
        <v>73</v>
      </c>
      <c r="C7" s="13" t="s">
        <v>519</v>
      </c>
      <c r="D7" s="1" t="s">
        <v>77</v>
      </c>
      <c r="E7" s="1" t="s">
        <v>78</v>
      </c>
      <c r="F7" s="16" t="s">
        <v>79</v>
      </c>
    </row>
    <row r="8" spans="1:7" ht="44.25" customHeight="1">
      <c r="A8" s="12" t="s">
        <v>64</v>
      </c>
      <c r="B8" s="1" t="s">
        <v>80</v>
      </c>
      <c r="C8" s="13" t="s">
        <v>518</v>
      </c>
      <c r="D8" s="1" t="s">
        <v>81</v>
      </c>
      <c r="E8" s="18" t="s">
        <v>82</v>
      </c>
      <c r="F8" s="19" t="s">
        <v>83</v>
      </c>
      <c r="G8" s="17"/>
    </row>
    <row r="9" spans="1:7" ht="44.25" customHeight="1">
      <c r="A9" s="12" t="s">
        <v>64</v>
      </c>
      <c r="B9" s="1" t="s">
        <v>80</v>
      </c>
      <c r="C9" s="13" t="s">
        <v>517</v>
      </c>
      <c r="D9" s="1" t="s">
        <v>84</v>
      </c>
      <c r="E9" s="18" t="s">
        <v>85</v>
      </c>
      <c r="F9" s="20" t="s">
        <v>86</v>
      </c>
      <c r="G9" s="17"/>
    </row>
    <row r="10" spans="1:7" ht="44.25" customHeight="1">
      <c r="A10" s="12" t="s">
        <v>64</v>
      </c>
      <c r="B10" s="1" t="s">
        <v>80</v>
      </c>
      <c r="C10" s="13" t="s">
        <v>516</v>
      </c>
      <c r="D10" s="1" t="s">
        <v>524</v>
      </c>
      <c r="E10" s="21" t="s">
        <v>525</v>
      </c>
      <c r="F10" s="20" t="s">
        <v>526</v>
      </c>
      <c r="G10" s="17"/>
    </row>
    <row r="11" spans="1:7" ht="44.25" customHeight="1">
      <c r="A11" s="12" t="s">
        <v>64</v>
      </c>
      <c r="B11" s="1" t="s">
        <v>87</v>
      </c>
      <c r="C11" s="13" t="s">
        <v>515</v>
      </c>
      <c r="D11" s="1" t="s">
        <v>88</v>
      </c>
      <c r="E11" s="18" t="s">
        <v>89</v>
      </c>
      <c r="F11" s="16" t="s">
        <v>90</v>
      </c>
      <c r="G11" s="17"/>
    </row>
    <row r="12" spans="1:7" ht="44.25" customHeight="1">
      <c r="A12" s="12" t="s">
        <v>64</v>
      </c>
      <c r="B12" s="1" t="s">
        <v>91</v>
      </c>
      <c r="C12" s="13" t="s">
        <v>514</v>
      </c>
      <c r="D12" s="1" t="s">
        <v>92</v>
      </c>
      <c r="E12" s="22" t="s">
        <v>93</v>
      </c>
      <c r="F12" s="23" t="s">
        <v>94</v>
      </c>
      <c r="G12" s="17"/>
    </row>
    <row r="13" spans="1:7" ht="44.25" customHeight="1">
      <c r="A13" s="12" t="s">
        <v>64</v>
      </c>
      <c r="B13" s="1" t="s">
        <v>95</v>
      </c>
      <c r="C13" s="13" t="s">
        <v>513</v>
      </c>
      <c r="D13" s="1" t="s">
        <v>96</v>
      </c>
      <c r="E13" s="22" t="s">
        <v>97</v>
      </c>
      <c r="F13" s="23" t="s">
        <v>98</v>
      </c>
    </row>
    <row r="14" spans="1:7" ht="44.25" customHeight="1">
      <c r="A14" s="12" t="s">
        <v>64</v>
      </c>
      <c r="B14" s="1" t="s">
        <v>99</v>
      </c>
      <c r="C14" s="13" t="s">
        <v>512</v>
      </c>
      <c r="D14" s="1" t="s">
        <v>100</v>
      </c>
      <c r="E14" s="24" t="s">
        <v>101</v>
      </c>
      <c r="F14" s="19" t="s">
        <v>102</v>
      </c>
    </row>
    <row r="15" spans="1:7" ht="44.25" customHeight="1">
      <c r="A15" s="12" t="s">
        <v>64</v>
      </c>
      <c r="B15" s="1" t="s">
        <v>99</v>
      </c>
      <c r="C15" s="13" t="s">
        <v>511</v>
      </c>
      <c r="D15" s="1" t="s">
        <v>103</v>
      </c>
      <c r="E15" s="18" t="s">
        <v>104</v>
      </c>
      <c r="F15" s="16" t="s">
        <v>105</v>
      </c>
    </row>
    <row r="16" spans="1:7" ht="44.25" customHeight="1">
      <c r="A16" s="12" t="s">
        <v>64</v>
      </c>
      <c r="B16" s="1" t="s">
        <v>99</v>
      </c>
      <c r="C16" s="13" t="s">
        <v>510</v>
      </c>
      <c r="D16" s="1" t="s">
        <v>106</v>
      </c>
      <c r="E16" s="18" t="s">
        <v>107</v>
      </c>
      <c r="F16" s="25" t="s">
        <v>108</v>
      </c>
      <c r="G16" s="17"/>
    </row>
    <row r="17" spans="1:33" ht="44.25" customHeight="1">
      <c r="A17" s="12" t="s">
        <v>64</v>
      </c>
      <c r="B17" s="1" t="s">
        <v>109</v>
      </c>
      <c r="C17" s="13" t="s">
        <v>509</v>
      </c>
      <c r="D17" s="1" t="s">
        <v>110</v>
      </c>
      <c r="E17" s="18" t="s">
        <v>111</v>
      </c>
      <c r="F17" s="16" t="s">
        <v>112</v>
      </c>
      <c r="G17" s="11"/>
    </row>
    <row r="18" spans="1:33" ht="44.25" customHeight="1" thickBot="1">
      <c r="A18" s="26" t="s">
        <v>64</v>
      </c>
      <c r="B18" s="27" t="s">
        <v>113</v>
      </c>
      <c r="C18" s="28" t="s">
        <v>508</v>
      </c>
      <c r="D18" s="27" t="s">
        <v>114</v>
      </c>
      <c r="E18" s="29" t="s">
        <v>115</v>
      </c>
      <c r="F18" s="30" t="s">
        <v>116</v>
      </c>
      <c r="G18" s="31"/>
    </row>
    <row r="19" spans="1:33" ht="44.25" customHeight="1" thickBot="1">
      <c r="A19" s="26" t="s">
        <v>64</v>
      </c>
      <c r="B19" s="27" t="s">
        <v>534</v>
      </c>
      <c r="C19" s="28" t="s">
        <v>543</v>
      </c>
      <c r="D19" s="27" t="s">
        <v>536</v>
      </c>
      <c r="E19" s="29" t="s">
        <v>544</v>
      </c>
      <c r="F19" s="30" t="s">
        <v>545</v>
      </c>
      <c r="G19" s="31"/>
    </row>
    <row r="20" spans="1:33" ht="44.25" customHeight="1">
      <c r="A20" s="12" t="s">
        <v>117</v>
      </c>
      <c r="B20" s="1" t="s">
        <v>27</v>
      </c>
      <c r="C20" s="13" t="s">
        <v>507</v>
      </c>
      <c r="D20" s="1" t="s">
        <v>65</v>
      </c>
      <c r="E20" s="1" t="s">
        <v>118</v>
      </c>
      <c r="F20" s="15" t="s">
        <v>119</v>
      </c>
      <c r="G20" s="32"/>
    </row>
    <row r="21" spans="1:33" ht="44.25" customHeight="1">
      <c r="A21" s="12" t="s">
        <v>117</v>
      </c>
      <c r="B21" s="1" t="s">
        <v>27</v>
      </c>
      <c r="C21" s="13" t="s">
        <v>506</v>
      </c>
      <c r="D21" s="1" t="s">
        <v>68</v>
      </c>
      <c r="E21" s="1" t="s">
        <v>120</v>
      </c>
      <c r="F21" s="33" t="s">
        <v>121</v>
      </c>
    </row>
    <row r="22" spans="1:33" ht="44.25" customHeight="1">
      <c r="A22" s="12" t="s">
        <v>117</v>
      </c>
      <c r="B22" s="1" t="s">
        <v>27</v>
      </c>
      <c r="C22" s="13" t="s">
        <v>505</v>
      </c>
      <c r="D22" s="1" t="s">
        <v>122</v>
      </c>
      <c r="E22" s="1" t="s">
        <v>123</v>
      </c>
      <c r="F22" s="33" t="s">
        <v>124</v>
      </c>
      <c r="G22" s="34"/>
      <c r="H22" s="34"/>
      <c r="I22" s="35"/>
      <c r="J22" s="35"/>
      <c r="K22" s="35"/>
      <c r="L22" s="34"/>
    </row>
    <row r="23" spans="1:33" ht="44.25" customHeight="1">
      <c r="A23" s="12" t="s">
        <v>117</v>
      </c>
      <c r="B23" s="1" t="s">
        <v>27</v>
      </c>
      <c r="C23" s="13" t="s">
        <v>539</v>
      </c>
      <c r="D23" s="1" t="s">
        <v>540</v>
      </c>
      <c r="E23" s="1" t="s">
        <v>541</v>
      </c>
      <c r="F23" s="33" t="s">
        <v>542</v>
      </c>
      <c r="G23" s="34"/>
      <c r="H23" s="34"/>
      <c r="I23" s="35"/>
      <c r="J23" s="35"/>
      <c r="K23" s="35"/>
      <c r="L23" s="34"/>
    </row>
    <row r="24" spans="1:33" ht="44.25" customHeight="1">
      <c r="A24" s="12" t="s">
        <v>117</v>
      </c>
      <c r="B24" s="1" t="s">
        <v>73</v>
      </c>
      <c r="C24" s="13" t="s">
        <v>504</v>
      </c>
      <c r="D24" s="1" t="s">
        <v>529</v>
      </c>
      <c r="E24" s="1" t="s">
        <v>125</v>
      </c>
      <c r="F24" s="33" t="s">
        <v>126</v>
      </c>
      <c r="G24" s="36"/>
      <c r="H24" s="32"/>
    </row>
    <row r="25" spans="1:33" ht="44.25" customHeight="1">
      <c r="A25" s="12" t="s">
        <v>117</v>
      </c>
      <c r="B25" s="1" t="s">
        <v>73</v>
      </c>
      <c r="C25" s="13" t="s">
        <v>503</v>
      </c>
      <c r="D25" s="1" t="s">
        <v>530</v>
      </c>
      <c r="E25" s="1" t="s">
        <v>127</v>
      </c>
      <c r="F25" s="37" t="s">
        <v>128</v>
      </c>
      <c r="G25" s="35"/>
      <c r="H25" s="35"/>
      <c r="I25" s="35"/>
      <c r="J25" s="35"/>
      <c r="K25" s="34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1"/>
    </row>
    <row r="26" spans="1:33" ht="44.25" customHeight="1">
      <c r="A26" s="12" t="s">
        <v>117</v>
      </c>
      <c r="B26" s="1" t="s">
        <v>80</v>
      </c>
      <c r="C26" s="13" t="s">
        <v>502</v>
      </c>
      <c r="D26" s="1" t="s">
        <v>531</v>
      </c>
      <c r="E26" s="21" t="s">
        <v>129</v>
      </c>
      <c r="F26" s="37" t="s">
        <v>130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2"/>
    </row>
    <row r="27" spans="1:33" ht="44.25" customHeight="1">
      <c r="A27" s="12" t="s">
        <v>117</v>
      </c>
      <c r="B27" s="1" t="s">
        <v>80</v>
      </c>
      <c r="C27" s="13" t="s">
        <v>501</v>
      </c>
      <c r="D27" s="1" t="s">
        <v>532</v>
      </c>
      <c r="E27" s="1" t="s">
        <v>131</v>
      </c>
      <c r="F27" s="39" t="s">
        <v>132</v>
      </c>
    </row>
    <row r="28" spans="1:33" ht="44.25" customHeight="1">
      <c r="A28" s="12" t="s">
        <v>117</v>
      </c>
      <c r="B28" s="1" t="s">
        <v>80</v>
      </c>
      <c r="C28" s="13" t="s">
        <v>500</v>
      </c>
      <c r="D28" s="1" t="s">
        <v>527</v>
      </c>
      <c r="E28" s="21" t="s">
        <v>528</v>
      </c>
      <c r="F28" s="33" t="s">
        <v>133</v>
      </c>
    </row>
    <row r="29" spans="1:33" ht="44.25" customHeight="1">
      <c r="A29" s="12" t="s">
        <v>117</v>
      </c>
      <c r="B29" s="1" t="s">
        <v>87</v>
      </c>
      <c r="C29" s="13" t="s">
        <v>499</v>
      </c>
      <c r="D29" s="1" t="s">
        <v>134</v>
      </c>
      <c r="E29" s="40" t="s">
        <v>135</v>
      </c>
      <c r="F29" s="16" t="s">
        <v>136</v>
      </c>
    </row>
    <row r="30" spans="1:33" ht="44.25" customHeight="1">
      <c r="A30" s="12" t="s">
        <v>117</v>
      </c>
      <c r="B30" s="1" t="s">
        <v>91</v>
      </c>
      <c r="C30" s="13" t="s">
        <v>498</v>
      </c>
      <c r="D30" s="1" t="s">
        <v>134</v>
      </c>
      <c r="E30" s="41" t="s">
        <v>137</v>
      </c>
      <c r="F30" s="42" t="s">
        <v>138</v>
      </c>
    </row>
    <row r="31" spans="1:33" ht="44.25" customHeight="1">
      <c r="A31" s="12" t="s">
        <v>117</v>
      </c>
      <c r="B31" s="1" t="s">
        <v>95</v>
      </c>
      <c r="C31" s="13" t="s">
        <v>497</v>
      </c>
      <c r="D31" s="1" t="s">
        <v>134</v>
      </c>
      <c r="E31" s="43" t="s">
        <v>139</v>
      </c>
      <c r="F31" s="44" t="s">
        <v>140</v>
      </c>
    </row>
    <row r="32" spans="1:33" ht="44.25" customHeight="1">
      <c r="A32" s="12" t="s">
        <v>117</v>
      </c>
      <c r="B32" s="1" t="s">
        <v>99</v>
      </c>
      <c r="C32" s="13" t="s">
        <v>496</v>
      </c>
      <c r="D32" s="1" t="s">
        <v>134</v>
      </c>
      <c r="E32" s="21" t="s">
        <v>141</v>
      </c>
      <c r="F32" s="33" t="s">
        <v>142</v>
      </c>
    </row>
    <row r="33" spans="1:6" ht="44.25" customHeight="1">
      <c r="A33" s="12" t="s">
        <v>117</v>
      </c>
      <c r="B33" s="1" t="s">
        <v>143</v>
      </c>
      <c r="C33" s="13" t="s">
        <v>495</v>
      </c>
      <c r="D33" s="1" t="s">
        <v>134</v>
      </c>
      <c r="E33" s="40" t="s">
        <v>144</v>
      </c>
      <c r="F33" s="33" t="s">
        <v>145</v>
      </c>
    </row>
    <row r="34" spans="1:6" ht="44.25" customHeight="1">
      <c r="A34" s="12" t="s">
        <v>117</v>
      </c>
      <c r="B34" s="1" t="s">
        <v>534</v>
      </c>
      <c r="C34" s="13" t="s">
        <v>535</v>
      </c>
      <c r="D34" s="1" t="s">
        <v>536</v>
      </c>
      <c r="E34" s="40" t="s">
        <v>537</v>
      </c>
      <c r="F34" s="33" t="s">
        <v>538</v>
      </c>
    </row>
    <row r="35" spans="1:6" ht="44.25" customHeight="1">
      <c r="A35" s="12"/>
      <c r="B35" s="1"/>
      <c r="C35" s="1"/>
      <c r="D35" s="1"/>
      <c r="E35" s="45"/>
      <c r="F35" s="33"/>
    </row>
    <row r="36" spans="1:6" ht="24" customHeight="1">
      <c r="A36" s="95" t="s">
        <v>549</v>
      </c>
      <c r="B36" s="95"/>
      <c r="C36" s="95"/>
      <c r="D36" s="95"/>
      <c r="E36" s="95"/>
      <c r="F36" s="95"/>
    </row>
    <row r="37" spans="1:6" ht="24" customHeight="1">
      <c r="A37" s="96" t="s">
        <v>550</v>
      </c>
      <c r="B37" s="96"/>
      <c r="C37" s="96"/>
      <c r="D37" s="96"/>
      <c r="E37" s="96"/>
      <c r="F37" s="96"/>
    </row>
    <row r="38" spans="1:6" ht="18" customHeight="1">
      <c r="A38" s="97" t="s">
        <v>551</v>
      </c>
      <c r="B38" s="97"/>
      <c r="C38" s="97"/>
      <c r="D38" s="97"/>
      <c r="E38" s="97"/>
      <c r="F38" s="97"/>
    </row>
  </sheetData>
  <mergeCells count="3">
    <mergeCell ref="A36:F36"/>
    <mergeCell ref="A37:F37"/>
    <mergeCell ref="A38:F38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opLeftCell="A8" zoomScaleNormal="100" workbookViewId="0">
      <selection activeCell="A13" sqref="A13:XFD13"/>
    </sheetView>
  </sheetViews>
  <sheetFormatPr defaultColWidth="8.6640625" defaultRowHeight="14.4"/>
  <cols>
    <col min="1" max="1" width="12" customWidth="1"/>
    <col min="2" max="2" width="14" customWidth="1"/>
    <col min="3" max="3" width="62" customWidth="1"/>
    <col min="4" max="4" width="66" customWidth="1"/>
  </cols>
  <sheetData>
    <row r="1" spans="1:4" ht="24" customHeight="1">
      <c r="A1" s="7" t="s">
        <v>59</v>
      </c>
      <c r="B1" s="9" t="s">
        <v>60</v>
      </c>
      <c r="C1" s="8" t="s">
        <v>61</v>
      </c>
      <c r="D1" s="46" t="s">
        <v>63</v>
      </c>
    </row>
    <row r="2" spans="1:4" ht="45.75" customHeight="1">
      <c r="A2" s="47" t="s">
        <v>29</v>
      </c>
      <c r="B2" s="48" t="s">
        <v>575</v>
      </c>
      <c r="C2" s="49" t="s">
        <v>147</v>
      </c>
      <c r="D2" s="15" t="s">
        <v>148</v>
      </c>
    </row>
    <row r="3" spans="1:4" s="92" customFormat="1" ht="45.75" customHeight="1">
      <c r="A3" s="87" t="s">
        <v>27</v>
      </c>
      <c r="B3" s="90" t="s">
        <v>574</v>
      </c>
      <c r="C3" s="89" t="s">
        <v>149</v>
      </c>
      <c r="D3" s="91" t="s">
        <v>150</v>
      </c>
    </row>
    <row r="4" spans="1:4" ht="45.75" customHeight="1">
      <c r="A4" s="12" t="s">
        <v>29</v>
      </c>
      <c r="B4" s="50" t="s">
        <v>573</v>
      </c>
      <c r="C4" s="3" t="s">
        <v>151</v>
      </c>
      <c r="D4" s="44" t="s">
        <v>152</v>
      </c>
    </row>
    <row r="5" spans="1:4" ht="45.75" customHeight="1">
      <c r="A5" s="12" t="s">
        <v>29</v>
      </c>
      <c r="B5" s="50" t="s">
        <v>572</v>
      </c>
      <c r="C5" s="3" t="s">
        <v>153</v>
      </c>
      <c r="D5" s="16" t="s">
        <v>154</v>
      </c>
    </row>
    <row r="6" spans="1:4" ht="45.75" customHeight="1">
      <c r="A6" s="12" t="s">
        <v>29</v>
      </c>
      <c r="B6" s="50" t="s">
        <v>571</v>
      </c>
      <c r="C6" s="3" t="s">
        <v>155</v>
      </c>
      <c r="D6" s="16" t="s">
        <v>156</v>
      </c>
    </row>
    <row r="7" spans="1:4" ht="45.75" customHeight="1">
      <c r="A7" s="12" t="s">
        <v>29</v>
      </c>
      <c r="B7" s="50" t="s">
        <v>570</v>
      </c>
      <c r="C7" s="3" t="s">
        <v>157</v>
      </c>
      <c r="D7" s="16" t="s">
        <v>158</v>
      </c>
    </row>
    <row r="8" spans="1:4" ht="45.75" customHeight="1">
      <c r="A8" s="12" t="s">
        <v>29</v>
      </c>
      <c r="B8" s="50" t="s">
        <v>569</v>
      </c>
      <c r="C8" s="3" t="s">
        <v>159</v>
      </c>
      <c r="D8" s="16" t="s">
        <v>160</v>
      </c>
    </row>
    <row r="9" spans="1:4" ht="45.75" customHeight="1">
      <c r="A9" s="12" t="s">
        <v>27</v>
      </c>
      <c r="B9" s="50" t="s">
        <v>568</v>
      </c>
      <c r="C9" s="3" t="s">
        <v>161</v>
      </c>
      <c r="D9" s="33" t="s">
        <v>162</v>
      </c>
    </row>
    <row r="10" spans="1:4" ht="45.75" customHeight="1">
      <c r="A10" s="12" t="s">
        <v>29</v>
      </c>
      <c r="B10" s="50" t="s">
        <v>567</v>
      </c>
      <c r="C10" s="3" t="s">
        <v>163</v>
      </c>
      <c r="D10" s="33" t="s">
        <v>164</v>
      </c>
    </row>
    <row r="11" spans="1:4" ht="45.75" customHeight="1">
      <c r="A11" s="12" t="s">
        <v>29</v>
      </c>
      <c r="B11" s="50" t="s">
        <v>566</v>
      </c>
      <c r="C11" s="3" t="s">
        <v>165</v>
      </c>
      <c r="D11" s="16" t="s">
        <v>166</v>
      </c>
    </row>
    <row r="12" spans="1:4" ht="45.75" customHeight="1">
      <c r="A12" s="12" t="s">
        <v>31</v>
      </c>
      <c r="B12" s="50" t="s">
        <v>565</v>
      </c>
      <c r="C12" s="3" t="s">
        <v>167</v>
      </c>
      <c r="D12" s="16" t="s">
        <v>168</v>
      </c>
    </row>
    <row r="13" spans="1:4" ht="45.75" customHeight="1">
      <c r="A13" s="12" t="s">
        <v>31</v>
      </c>
      <c r="B13" s="50" t="s">
        <v>578</v>
      </c>
      <c r="C13" s="3" t="s">
        <v>579</v>
      </c>
      <c r="D13" s="16" t="s">
        <v>580</v>
      </c>
    </row>
    <row r="14" spans="1:4" ht="45.75" customHeight="1">
      <c r="A14" s="51" t="s">
        <v>576</v>
      </c>
      <c r="B14" s="50" t="s">
        <v>577</v>
      </c>
      <c r="C14" s="3" t="s">
        <v>169</v>
      </c>
      <c r="D14" s="16" t="s">
        <v>170</v>
      </c>
    </row>
    <row r="15" spans="1:4" ht="45.75" customHeight="1">
      <c r="A15" s="12"/>
      <c r="B15" s="1"/>
      <c r="C15" s="1"/>
      <c r="D15" s="33"/>
    </row>
    <row r="16" spans="1:4" ht="25.5" customHeight="1">
      <c r="A16" s="101" t="s">
        <v>581</v>
      </c>
      <c r="B16" s="101"/>
      <c r="C16" s="101"/>
      <c r="D16" s="101"/>
    </row>
    <row r="17" spans="1:4" ht="18" customHeight="1">
      <c r="A17" s="97" t="s">
        <v>582</v>
      </c>
      <c r="B17" s="97"/>
      <c r="C17" s="97"/>
      <c r="D17" s="97"/>
    </row>
  </sheetData>
  <mergeCells count="2">
    <mergeCell ref="A16:D16"/>
    <mergeCell ref="A17:D17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Normal="100" workbookViewId="0">
      <selection activeCell="A3" sqref="A3:F3"/>
    </sheetView>
  </sheetViews>
  <sheetFormatPr defaultColWidth="8.6640625" defaultRowHeight="14.4"/>
  <cols>
    <col min="1" max="1" width="12" customWidth="1"/>
    <col min="2" max="2" width="8" customWidth="1"/>
    <col min="3" max="3" width="16" customWidth="1"/>
    <col min="4" max="5" width="46" customWidth="1"/>
    <col min="6" max="6" width="62" customWidth="1"/>
  </cols>
  <sheetData>
    <row r="1" spans="1:6" ht="24" customHeight="1">
      <c r="A1" s="7" t="s">
        <v>59</v>
      </c>
      <c r="B1" s="9" t="s">
        <v>171</v>
      </c>
      <c r="C1" s="9" t="s">
        <v>60</v>
      </c>
      <c r="D1" s="8" t="s">
        <v>61</v>
      </c>
      <c r="E1" s="8" t="s">
        <v>62</v>
      </c>
      <c r="F1" s="46" t="s">
        <v>63</v>
      </c>
    </row>
    <row r="2" spans="1:6" ht="44.25" customHeight="1">
      <c r="A2" s="47" t="s">
        <v>27</v>
      </c>
      <c r="B2" s="49" t="s">
        <v>172</v>
      </c>
      <c r="C2" s="52" t="s">
        <v>560</v>
      </c>
      <c r="D2" s="49" t="s">
        <v>173</v>
      </c>
      <c r="E2" s="53" t="s">
        <v>174</v>
      </c>
      <c r="F2" s="15" t="s">
        <v>175</v>
      </c>
    </row>
    <row r="3" spans="1:6" ht="44.25" customHeight="1">
      <c r="A3" s="87" t="s">
        <v>27</v>
      </c>
      <c r="B3" s="87" t="s">
        <v>172</v>
      </c>
      <c r="C3" s="88" t="s">
        <v>559</v>
      </c>
      <c r="D3" s="87" t="s">
        <v>176</v>
      </c>
      <c r="E3" s="89" t="s">
        <v>177</v>
      </c>
      <c r="F3" s="91" t="s">
        <v>178</v>
      </c>
    </row>
    <row r="4" spans="1:6" ht="44.25" customHeight="1">
      <c r="A4" s="12" t="s">
        <v>29</v>
      </c>
      <c r="B4" s="1" t="s">
        <v>172</v>
      </c>
      <c r="C4" s="13" t="s">
        <v>558</v>
      </c>
      <c r="D4" s="1" t="s">
        <v>179</v>
      </c>
      <c r="E4" s="3" t="s">
        <v>180</v>
      </c>
      <c r="F4" s="20" t="s">
        <v>181</v>
      </c>
    </row>
    <row r="5" spans="1:6" ht="44.25" customHeight="1">
      <c r="A5" s="12" t="s">
        <v>31</v>
      </c>
      <c r="B5" s="1" t="s">
        <v>172</v>
      </c>
      <c r="C5" s="13" t="s">
        <v>557</v>
      </c>
      <c r="D5" s="1" t="s">
        <v>182</v>
      </c>
      <c r="E5" s="3" t="s">
        <v>183</v>
      </c>
      <c r="F5" s="16" t="s">
        <v>184</v>
      </c>
    </row>
    <row r="6" spans="1:6" ht="44.25" customHeight="1">
      <c r="A6" s="12" t="s">
        <v>29</v>
      </c>
      <c r="B6" s="1" t="s">
        <v>172</v>
      </c>
      <c r="C6" s="13" t="s">
        <v>556</v>
      </c>
      <c r="D6" s="1" t="s">
        <v>185</v>
      </c>
      <c r="E6" s="3" t="s">
        <v>186</v>
      </c>
      <c r="F6" s="15" t="s">
        <v>187</v>
      </c>
    </row>
    <row r="7" spans="1:6" ht="44.25" customHeight="1">
      <c r="A7" s="87" t="s">
        <v>29</v>
      </c>
      <c r="B7" s="87" t="s">
        <v>172</v>
      </c>
      <c r="C7" s="88" t="s">
        <v>555</v>
      </c>
      <c r="D7" s="87" t="s">
        <v>188</v>
      </c>
      <c r="E7" s="89" t="s">
        <v>189</v>
      </c>
      <c r="F7" s="91" t="s">
        <v>190</v>
      </c>
    </row>
    <row r="8" spans="1:6" ht="44.25" customHeight="1">
      <c r="A8" s="12" t="s">
        <v>29</v>
      </c>
      <c r="B8" s="1" t="s">
        <v>172</v>
      </c>
      <c r="C8" s="13" t="s">
        <v>554</v>
      </c>
      <c r="D8" s="1" t="s">
        <v>191</v>
      </c>
      <c r="E8" s="3" t="s">
        <v>192</v>
      </c>
      <c r="F8" s="20" t="s">
        <v>193</v>
      </c>
    </row>
    <row r="9" spans="1:6" ht="44.25" customHeight="1">
      <c r="A9" s="12" t="s">
        <v>194</v>
      </c>
      <c r="B9" s="1" t="s">
        <v>195</v>
      </c>
      <c r="C9" s="13" t="s">
        <v>553</v>
      </c>
      <c r="D9" s="1" t="s">
        <v>561</v>
      </c>
      <c r="E9" s="1" t="s">
        <v>196</v>
      </c>
      <c r="F9" s="33" t="s">
        <v>197</v>
      </c>
    </row>
    <row r="10" spans="1:6" ht="44.25" customHeight="1">
      <c r="A10" s="12" t="s">
        <v>194</v>
      </c>
      <c r="B10" s="1" t="s">
        <v>198</v>
      </c>
      <c r="C10" s="13" t="s">
        <v>552</v>
      </c>
      <c r="D10" s="1" t="s">
        <v>562</v>
      </c>
      <c r="E10" s="1" t="s">
        <v>199</v>
      </c>
      <c r="F10" s="33" t="s">
        <v>200</v>
      </c>
    </row>
    <row r="11" spans="1:6" ht="44.25" customHeight="1">
      <c r="A11" s="12"/>
      <c r="B11" s="1"/>
      <c r="C11" s="1"/>
      <c r="D11" s="1"/>
      <c r="E11" s="1"/>
      <c r="F11" s="33"/>
    </row>
    <row r="12" spans="1:6" ht="21.75" customHeight="1">
      <c r="A12" s="102" t="s">
        <v>563</v>
      </c>
      <c r="B12" s="102"/>
      <c r="C12" s="102"/>
      <c r="D12" s="102"/>
      <c r="E12" s="102"/>
      <c r="F12" s="102"/>
    </row>
    <row r="13" spans="1:6" ht="18" customHeight="1">
      <c r="A13" s="97" t="s">
        <v>564</v>
      </c>
      <c r="B13" s="97"/>
      <c r="C13" s="97"/>
      <c r="D13" s="97"/>
      <c r="E13" s="97"/>
      <c r="F13" s="97"/>
    </row>
  </sheetData>
  <mergeCells count="2">
    <mergeCell ref="A12:F12"/>
    <mergeCell ref="A13:F13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zoomScaleNormal="100" workbookViewId="0">
      <selection activeCell="C1" sqref="C1"/>
    </sheetView>
  </sheetViews>
  <sheetFormatPr defaultColWidth="8.6640625" defaultRowHeight="14.4"/>
  <cols>
    <col min="1" max="1" width="12" customWidth="1"/>
    <col min="2" max="2" width="16" customWidth="1"/>
    <col min="3" max="3" width="50" customWidth="1"/>
    <col min="4" max="4" width="48" customWidth="1"/>
    <col min="5" max="5" width="64" customWidth="1"/>
  </cols>
  <sheetData>
    <row r="1" spans="1:5" ht="24" customHeight="1">
      <c r="A1" s="84" t="s">
        <v>59</v>
      </c>
      <c r="B1" s="86" t="s">
        <v>60</v>
      </c>
      <c r="C1" s="85" t="s">
        <v>61</v>
      </c>
      <c r="D1" s="85" t="s">
        <v>62</v>
      </c>
      <c r="E1" s="46" t="s">
        <v>63</v>
      </c>
    </row>
    <row r="2" spans="1:5" ht="45.75" customHeight="1">
      <c r="A2" s="87" t="s">
        <v>29</v>
      </c>
      <c r="B2" s="88" t="s">
        <v>201</v>
      </c>
      <c r="C2" s="87" t="s">
        <v>202</v>
      </c>
      <c r="D2" s="89" t="s">
        <v>203</v>
      </c>
      <c r="E2" s="93" t="s">
        <v>204</v>
      </c>
    </row>
    <row r="3" spans="1:5" ht="45.75" customHeight="1">
      <c r="A3" s="87" t="s">
        <v>27</v>
      </c>
      <c r="B3" s="88" t="s">
        <v>205</v>
      </c>
      <c r="C3" s="87" t="s">
        <v>206</v>
      </c>
      <c r="D3" s="89" t="s">
        <v>207</v>
      </c>
      <c r="E3" s="91" t="s">
        <v>208</v>
      </c>
    </row>
    <row r="4" spans="1:5" ht="45.75" customHeight="1">
      <c r="A4" s="12" t="s">
        <v>27</v>
      </c>
      <c r="B4" s="13" t="s">
        <v>209</v>
      </c>
      <c r="C4" s="1" t="s">
        <v>210</v>
      </c>
      <c r="D4" s="3" t="s">
        <v>211</v>
      </c>
      <c r="E4" s="20" t="s">
        <v>212</v>
      </c>
    </row>
    <row r="5" spans="1:5" ht="45.75" customHeight="1">
      <c r="A5" s="12" t="s">
        <v>27</v>
      </c>
      <c r="B5" s="13" t="s">
        <v>213</v>
      </c>
      <c r="C5" s="1" t="s">
        <v>214</v>
      </c>
      <c r="D5" s="3" t="s">
        <v>215</v>
      </c>
      <c r="E5" s="16" t="s">
        <v>216</v>
      </c>
    </row>
    <row r="6" spans="1:5" ht="45.75" customHeight="1">
      <c r="A6" s="12" t="s">
        <v>27</v>
      </c>
      <c r="B6" s="13" t="s">
        <v>217</v>
      </c>
      <c r="C6" s="1" t="s">
        <v>218</v>
      </c>
      <c r="D6" s="3" t="s">
        <v>219</v>
      </c>
      <c r="E6" s="16" t="s">
        <v>220</v>
      </c>
    </row>
    <row r="7" spans="1:5" ht="45.75" customHeight="1">
      <c r="A7" s="12" t="s">
        <v>29</v>
      </c>
      <c r="B7" s="13" t="s">
        <v>221</v>
      </c>
      <c r="C7" s="1" t="s">
        <v>222</v>
      </c>
      <c r="D7" s="3" t="s">
        <v>223</v>
      </c>
      <c r="E7" s="16" t="s">
        <v>224</v>
      </c>
    </row>
    <row r="8" spans="1:5" ht="45.75" customHeight="1">
      <c r="A8" s="12" t="s">
        <v>29</v>
      </c>
      <c r="B8" s="13" t="s">
        <v>225</v>
      </c>
      <c r="C8" s="1" t="s">
        <v>226</v>
      </c>
      <c r="D8" s="3" t="s">
        <v>227</v>
      </c>
      <c r="E8" s="16" t="s">
        <v>228</v>
      </c>
    </row>
    <row r="9" spans="1:5" ht="45.75" customHeight="1">
      <c r="A9" s="12" t="s">
        <v>31</v>
      </c>
      <c r="B9" s="13" t="s">
        <v>229</v>
      </c>
      <c r="C9" s="1" t="s">
        <v>230</v>
      </c>
      <c r="D9" s="1" t="s">
        <v>231</v>
      </c>
      <c r="E9" s="16" t="s">
        <v>232</v>
      </c>
    </row>
    <row r="10" spans="1:5" ht="45.75" customHeight="1">
      <c r="A10" s="12" t="s">
        <v>31</v>
      </c>
      <c r="B10" s="13" t="s">
        <v>233</v>
      </c>
      <c r="C10" s="1" t="s">
        <v>234</v>
      </c>
      <c r="D10" s="1" t="s">
        <v>235</v>
      </c>
      <c r="E10" s="33" t="s">
        <v>236</v>
      </c>
    </row>
    <row r="11" spans="1:5" ht="45.75" customHeight="1">
      <c r="A11" s="12" t="s">
        <v>27</v>
      </c>
      <c r="B11" s="13" t="s">
        <v>237</v>
      </c>
      <c r="C11" s="1" t="s">
        <v>238</v>
      </c>
      <c r="D11" s="3" t="s">
        <v>239</v>
      </c>
      <c r="E11" s="16" t="s">
        <v>240</v>
      </c>
    </row>
    <row r="12" spans="1:5" ht="45.75" customHeight="1">
      <c r="A12" s="12" t="s">
        <v>31</v>
      </c>
      <c r="B12" s="13" t="s">
        <v>241</v>
      </c>
      <c r="C12" s="1" t="s">
        <v>242</v>
      </c>
      <c r="D12" s="3" t="s">
        <v>243</v>
      </c>
      <c r="E12" s="16" t="s">
        <v>244</v>
      </c>
    </row>
    <row r="13" spans="1:5" ht="45.75" customHeight="1">
      <c r="A13" s="12" t="s">
        <v>31</v>
      </c>
      <c r="B13" s="13" t="s">
        <v>245</v>
      </c>
      <c r="C13" s="1" t="s">
        <v>246</v>
      </c>
      <c r="D13" s="3" t="s">
        <v>247</v>
      </c>
      <c r="E13" s="16" t="s">
        <v>248</v>
      </c>
    </row>
    <row r="14" spans="1:5" ht="45.75" customHeight="1">
      <c r="A14" s="12" t="s">
        <v>31</v>
      </c>
      <c r="B14" s="13" t="s">
        <v>249</v>
      </c>
      <c r="C14" s="1" t="s">
        <v>250</v>
      </c>
      <c r="D14" s="3" t="s">
        <v>251</v>
      </c>
      <c r="E14" s="16" t="s">
        <v>252</v>
      </c>
    </row>
    <row r="15" spans="1:5" ht="45.75" customHeight="1">
      <c r="A15" s="12"/>
      <c r="B15" s="1"/>
      <c r="C15" s="1"/>
      <c r="D15" s="1"/>
      <c r="E15" s="33"/>
    </row>
    <row r="16" spans="1:5" ht="25.5" customHeight="1">
      <c r="A16" s="101" t="s">
        <v>253</v>
      </c>
      <c r="B16" s="101"/>
      <c r="C16" s="101"/>
      <c r="D16" s="101"/>
      <c r="E16" s="101"/>
    </row>
    <row r="17" spans="1:5" ht="25.5" customHeight="1">
      <c r="A17" s="96" t="s">
        <v>254</v>
      </c>
      <c r="B17" s="96"/>
      <c r="C17" s="96"/>
      <c r="D17" s="96"/>
      <c r="E17" s="96"/>
    </row>
    <row r="18" spans="1:5" ht="18" customHeight="1">
      <c r="A18" s="97" t="s">
        <v>255</v>
      </c>
      <c r="B18" s="97"/>
      <c r="C18" s="97"/>
      <c r="D18" s="97"/>
      <c r="E18" s="97"/>
    </row>
  </sheetData>
  <mergeCells count="3">
    <mergeCell ref="A16:E16"/>
    <mergeCell ref="A17:E17"/>
    <mergeCell ref="A18:E18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zoomScaleNormal="100" workbookViewId="0">
      <selection activeCell="H6" sqref="H6"/>
    </sheetView>
  </sheetViews>
  <sheetFormatPr defaultColWidth="8.6640625" defaultRowHeight="14.4"/>
  <cols>
    <col min="1" max="1" width="20" customWidth="1"/>
    <col min="2" max="2" width="16" customWidth="1"/>
    <col min="3" max="3" width="28" customWidth="1"/>
  </cols>
  <sheetData>
    <row r="1" spans="1:3" ht="24" customHeight="1">
      <c r="A1" s="54" t="s">
        <v>256</v>
      </c>
      <c r="B1" s="55" t="s">
        <v>257</v>
      </c>
      <c r="C1" s="54" t="s">
        <v>258</v>
      </c>
    </row>
    <row r="2" spans="1:3" ht="24" customHeight="1">
      <c r="A2" s="56" t="s">
        <v>259</v>
      </c>
      <c r="B2" s="56">
        <v>66</v>
      </c>
      <c r="C2" s="57" t="s">
        <v>22</v>
      </c>
    </row>
    <row r="3" spans="1:3" ht="24" customHeight="1">
      <c r="A3" s="56" t="s">
        <v>171</v>
      </c>
      <c r="B3" s="56">
        <v>21</v>
      </c>
      <c r="C3" s="57" t="s">
        <v>22</v>
      </c>
    </row>
    <row r="4" spans="1:3" ht="24" customHeight="1">
      <c r="A4" s="56" t="s">
        <v>260</v>
      </c>
      <c r="B4" s="56">
        <v>13</v>
      </c>
      <c r="C4" s="57" t="s">
        <v>261</v>
      </c>
    </row>
    <row r="5" spans="1:3" ht="24" customHeight="1">
      <c r="A5" s="56" t="s">
        <v>262</v>
      </c>
      <c r="B5" s="56">
        <v>14</v>
      </c>
      <c r="C5" s="57" t="s">
        <v>605</v>
      </c>
    </row>
    <row r="6" spans="1:3" ht="24" customHeight="1">
      <c r="A6" s="58" t="s">
        <v>263</v>
      </c>
      <c r="B6" s="58">
        <v>114</v>
      </c>
      <c r="C6" s="59" t="s">
        <v>194</v>
      </c>
    </row>
  </sheetData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4"/>
  <sheetViews>
    <sheetView topLeftCell="A13" zoomScaleNormal="100" workbookViewId="0">
      <selection activeCell="A26" sqref="A26:L26"/>
    </sheetView>
  </sheetViews>
  <sheetFormatPr defaultColWidth="8.6640625" defaultRowHeight="14.4"/>
  <cols>
    <col min="1" max="2" width="12" customWidth="1"/>
    <col min="3" max="3" width="22" customWidth="1"/>
    <col min="4" max="4" width="20" customWidth="1"/>
    <col min="5" max="5" width="16" customWidth="1"/>
    <col min="6" max="6" width="11" customWidth="1"/>
    <col min="7" max="9" width="12" customWidth="1"/>
    <col min="10" max="11" width="14" customWidth="1"/>
    <col min="12" max="12" width="24" customWidth="1"/>
  </cols>
  <sheetData>
    <row r="1" spans="1:12" ht="24" customHeight="1">
      <c r="A1" s="103" t="s">
        <v>264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</row>
    <row r="2" spans="1:12" ht="20.25" customHeight="1">
      <c r="A2" s="104" t="s">
        <v>265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2" ht="21.75" customHeight="1">
      <c r="A3" s="60"/>
      <c r="B3" s="60"/>
      <c r="C3" s="61"/>
      <c r="D3" s="62"/>
      <c r="E3" s="62"/>
      <c r="F3" s="62"/>
      <c r="G3" s="62"/>
      <c r="H3" s="62"/>
      <c r="I3" s="62"/>
      <c r="J3" s="62"/>
      <c r="K3" s="62"/>
      <c r="L3" s="62"/>
    </row>
    <row r="4" spans="1:12" ht="17.25" customHeight="1">
      <c r="A4" s="105" t="s">
        <v>266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 ht="17.25" customHeight="1">
      <c r="A5" s="106" t="s">
        <v>267</v>
      </c>
      <c r="B5" s="106"/>
      <c r="C5" s="107" t="s">
        <v>268</v>
      </c>
      <c r="D5" s="107"/>
      <c r="E5" s="107"/>
      <c r="F5" s="107"/>
      <c r="G5" s="106" t="s">
        <v>269</v>
      </c>
      <c r="H5" s="106"/>
      <c r="I5" s="106"/>
      <c r="J5" s="106"/>
      <c r="K5" s="106"/>
      <c r="L5" s="106"/>
    </row>
    <row r="6" spans="1:12" ht="24" customHeight="1">
      <c r="A6" s="108" t="s">
        <v>270</v>
      </c>
      <c r="B6" s="108"/>
      <c r="C6" s="109" t="s">
        <v>271</v>
      </c>
      <c r="D6" s="109"/>
      <c r="E6" s="109"/>
      <c r="F6" s="109"/>
      <c r="G6" s="110" t="s">
        <v>272</v>
      </c>
      <c r="H6" s="110"/>
      <c r="I6" s="110"/>
      <c r="J6" s="110"/>
      <c r="K6" s="110"/>
      <c r="L6" s="110"/>
    </row>
    <row r="7" spans="1:12" ht="24" customHeight="1">
      <c r="A7" s="111" t="s">
        <v>273</v>
      </c>
      <c r="B7" s="111"/>
      <c r="C7" s="112" t="s">
        <v>274</v>
      </c>
      <c r="D7" s="112"/>
      <c r="E7" s="112"/>
      <c r="F7" s="112"/>
      <c r="G7" s="113" t="s">
        <v>275</v>
      </c>
      <c r="H7" s="113"/>
      <c r="I7" s="113"/>
      <c r="J7" s="113"/>
      <c r="K7" s="113"/>
      <c r="L7" s="113"/>
    </row>
    <row r="8" spans="1:12" ht="24" customHeight="1">
      <c r="A8" s="114" t="s">
        <v>276</v>
      </c>
      <c r="B8" s="114"/>
      <c r="C8" s="115" t="s">
        <v>277</v>
      </c>
      <c r="D8" s="115"/>
      <c r="E8" s="115"/>
      <c r="F8" s="115"/>
      <c r="G8" s="115" t="s">
        <v>278</v>
      </c>
      <c r="H8" s="115"/>
      <c r="I8" s="115"/>
      <c r="J8" s="115"/>
      <c r="K8" s="115"/>
      <c r="L8" s="115"/>
    </row>
    <row r="9" spans="1:12" ht="24" customHeight="1">
      <c r="A9" s="116" t="s">
        <v>279</v>
      </c>
      <c r="B9" s="116"/>
      <c r="C9" s="113" t="s">
        <v>280</v>
      </c>
      <c r="D9" s="113"/>
      <c r="E9" s="113"/>
      <c r="F9" s="113"/>
      <c r="G9" s="113" t="s">
        <v>281</v>
      </c>
      <c r="H9" s="113"/>
      <c r="I9" s="113"/>
      <c r="J9" s="113"/>
      <c r="K9" s="113"/>
      <c r="L9" s="113"/>
    </row>
    <row r="10" spans="1:12" ht="24" customHeight="1">
      <c r="A10" s="114" t="s">
        <v>282</v>
      </c>
      <c r="B10" s="114"/>
      <c r="C10" s="117" t="s">
        <v>283</v>
      </c>
      <c r="D10" s="117"/>
      <c r="E10" s="117"/>
      <c r="F10" s="117"/>
      <c r="G10" s="115" t="s">
        <v>284</v>
      </c>
      <c r="H10" s="115"/>
      <c r="I10" s="115"/>
      <c r="J10" s="115"/>
      <c r="K10" s="115"/>
      <c r="L10" s="115"/>
    </row>
    <row r="11" spans="1:12" ht="15" customHeight="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</row>
    <row r="12" spans="1:12" ht="17.25" customHeight="1">
      <c r="A12" s="105" t="s">
        <v>285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1:12" ht="17.25" customHeight="1">
      <c r="A13" s="106" t="s">
        <v>286</v>
      </c>
      <c r="B13" s="106"/>
      <c r="C13" s="106" t="s">
        <v>287</v>
      </c>
      <c r="D13" s="106"/>
      <c r="E13" s="106"/>
      <c r="F13" s="106"/>
      <c r="G13" s="106"/>
      <c r="H13" s="106"/>
      <c r="I13" s="106"/>
      <c r="J13" s="106"/>
      <c r="K13" s="106"/>
      <c r="L13" s="106"/>
    </row>
    <row r="14" spans="1:12" ht="21.75" customHeight="1">
      <c r="A14" s="118" t="s">
        <v>288</v>
      </c>
      <c r="B14" s="118"/>
      <c r="C14" s="119" t="s">
        <v>289</v>
      </c>
      <c r="D14" s="119"/>
      <c r="E14" s="119"/>
      <c r="F14" s="119"/>
      <c r="G14" s="119"/>
      <c r="H14" s="119"/>
      <c r="I14" s="119"/>
      <c r="J14" s="119"/>
      <c r="K14" s="119"/>
      <c r="L14" s="119"/>
    </row>
    <row r="15" spans="1:12" ht="21.75" customHeight="1">
      <c r="A15" s="118" t="s">
        <v>290</v>
      </c>
      <c r="B15" s="118"/>
      <c r="C15" s="112" t="s">
        <v>291</v>
      </c>
      <c r="D15" s="112"/>
      <c r="E15" s="112"/>
      <c r="F15" s="112"/>
      <c r="G15" s="112"/>
      <c r="H15" s="112"/>
      <c r="I15" s="112"/>
      <c r="J15" s="112"/>
      <c r="K15" s="112"/>
      <c r="L15" s="112"/>
    </row>
    <row r="16" spans="1:12" ht="21.75" customHeight="1">
      <c r="A16" s="118" t="s">
        <v>292</v>
      </c>
      <c r="B16" s="118"/>
      <c r="C16" s="120" t="s">
        <v>293</v>
      </c>
      <c r="D16" s="120"/>
      <c r="E16" s="120"/>
      <c r="F16" s="120"/>
      <c r="G16" s="120"/>
      <c r="H16" s="120"/>
      <c r="I16" s="120"/>
      <c r="J16" s="120"/>
      <c r="K16" s="120"/>
      <c r="L16" s="120"/>
    </row>
    <row r="17" spans="1:12" ht="21.75" customHeight="1">
      <c r="A17" s="118" t="s">
        <v>294</v>
      </c>
      <c r="B17" s="118"/>
      <c r="C17" s="113" t="s">
        <v>295</v>
      </c>
      <c r="D17" s="113"/>
      <c r="E17" s="113"/>
      <c r="F17" s="113"/>
      <c r="G17" s="113"/>
      <c r="H17" s="113"/>
      <c r="I17" s="113"/>
      <c r="J17" s="113"/>
      <c r="K17" s="113"/>
      <c r="L17" s="113"/>
    </row>
    <row r="18" spans="1:12" ht="21.75" customHeight="1">
      <c r="A18" s="118" t="s">
        <v>296</v>
      </c>
      <c r="B18" s="118"/>
      <c r="C18" s="120" t="s">
        <v>297</v>
      </c>
      <c r="D18" s="120"/>
      <c r="E18" s="120"/>
      <c r="F18" s="120"/>
      <c r="G18" s="120"/>
      <c r="H18" s="120"/>
      <c r="I18" s="120"/>
      <c r="J18" s="120"/>
      <c r="K18" s="120"/>
      <c r="L18" s="120"/>
    </row>
    <row r="19" spans="1:12" ht="15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</row>
    <row r="20" spans="1:12" ht="17.25" customHeight="1">
      <c r="A20" s="105" t="s">
        <v>298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</row>
    <row r="21" spans="1:12" ht="17.25" customHeight="1">
      <c r="A21" s="106" t="s">
        <v>299</v>
      </c>
      <c r="B21" s="106"/>
      <c r="C21" s="106"/>
      <c r="D21" s="106" t="s">
        <v>300</v>
      </c>
      <c r="E21" s="106"/>
      <c r="F21" s="106"/>
      <c r="G21" s="106" t="s">
        <v>301</v>
      </c>
      <c r="H21" s="106"/>
      <c r="I21" s="106"/>
      <c r="J21" s="106"/>
      <c r="K21" s="106"/>
      <c r="L21" s="106"/>
    </row>
    <row r="22" spans="1:12" ht="24" customHeight="1">
      <c r="A22" s="121" t="s">
        <v>302</v>
      </c>
      <c r="B22" s="121"/>
      <c r="C22" s="121"/>
      <c r="D22" s="115" t="s">
        <v>303</v>
      </c>
      <c r="E22" s="115"/>
      <c r="F22" s="115"/>
      <c r="G22" s="115" t="s">
        <v>304</v>
      </c>
      <c r="H22" s="115"/>
      <c r="I22" s="115"/>
      <c r="J22" s="115"/>
      <c r="K22" s="115"/>
      <c r="L22" s="115"/>
    </row>
    <row r="23" spans="1:12" ht="24" customHeight="1">
      <c r="A23" s="111" t="s">
        <v>305</v>
      </c>
      <c r="B23" s="111"/>
      <c r="C23" s="111"/>
      <c r="D23" s="113" t="s">
        <v>306</v>
      </c>
      <c r="E23" s="113"/>
      <c r="F23" s="113"/>
      <c r="G23" s="113" t="s">
        <v>307</v>
      </c>
      <c r="H23" s="113"/>
      <c r="I23" s="113"/>
      <c r="J23" s="113"/>
      <c r="K23" s="113"/>
      <c r="L23" s="113"/>
    </row>
    <row r="24" spans="1:12" ht="24" customHeight="1">
      <c r="A24" s="114" t="s">
        <v>308</v>
      </c>
      <c r="B24" s="114"/>
      <c r="C24" s="114"/>
      <c r="D24" s="115" t="s">
        <v>309</v>
      </c>
      <c r="E24" s="115"/>
      <c r="F24" s="115"/>
      <c r="G24" s="115" t="s">
        <v>310</v>
      </c>
      <c r="H24" s="115"/>
      <c r="I24" s="115"/>
      <c r="J24" s="115"/>
      <c r="K24" s="115"/>
      <c r="L24" s="115"/>
    </row>
    <row r="25" spans="1:12" ht="20.25" customHeight="1">
      <c r="A25" s="122" t="s">
        <v>311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</row>
    <row r="26" spans="1:12" ht="21.75" customHeight="1">
      <c r="A26" s="123" t="s">
        <v>312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</row>
    <row r="27" spans="1:12" ht="1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</row>
    <row r="28" spans="1:12" ht="17.25" customHeight="1">
      <c r="A28" s="105" t="s">
        <v>313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</row>
    <row r="29" spans="1:12" ht="17.25" customHeight="1">
      <c r="A29" s="106" t="s">
        <v>314</v>
      </c>
      <c r="B29" s="106"/>
      <c r="C29" s="106" t="s">
        <v>315</v>
      </c>
      <c r="D29" s="106"/>
      <c r="E29" s="106"/>
      <c r="F29" s="106"/>
      <c r="G29" s="106"/>
      <c r="H29" s="106"/>
      <c r="I29" s="106" t="s">
        <v>316</v>
      </c>
      <c r="J29" s="106"/>
      <c r="K29" s="106"/>
      <c r="L29" s="106"/>
    </row>
    <row r="30" spans="1:12" ht="24" customHeight="1">
      <c r="A30" s="114" t="s">
        <v>317</v>
      </c>
      <c r="B30" s="114"/>
      <c r="C30" s="115" t="s">
        <v>318</v>
      </c>
      <c r="D30" s="115"/>
      <c r="E30" s="115"/>
      <c r="F30" s="115"/>
      <c r="G30" s="115"/>
      <c r="H30" s="115"/>
      <c r="I30" s="124" t="s">
        <v>319</v>
      </c>
      <c r="J30" s="124"/>
      <c r="K30" s="124"/>
      <c r="L30" s="124"/>
    </row>
    <row r="31" spans="1:12" ht="24" customHeight="1">
      <c r="A31" s="121" t="s">
        <v>27</v>
      </c>
      <c r="B31" s="121"/>
      <c r="C31" s="117" t="s">
        <v>320</v>
      </c>
      <c r="D31" s="117"/>
      <c r="E31" s="117"/>
      <c r="F31" s="117"/>
      <c r="G31" s="117"/>
      <c r="H31" s="117"/>
      <c r="I31" s="125" t="s">
        <v>321</v>
      </c>
      <c r="J31" s="125"/>
      <c r="K31" s="125"/>
      <c r="L31" s="125"/>
    </row>
    <row r="32" spans="1:12" ht="24" customHeight="1">
      <c r="A32" s="129" t="s">
        <v>29</v>
      </c>
      <c r="B32" s="129"/>
      <c r="C32" s="120" t="s">
        <v>322</v>
      </c>
      <c r="D32" s="120"/>
      <c r="E32" s="120"/>
      <c r="F32" s="120"/>
      <c r="G32" s="120"/>
      <c r="H32" s="120"/>
      <c r="I32" s="130" t="s">
        <v>323</v>
      </c>
      <c r="J32" s="130"/>
      <c r="K32" s="130"/>
      <c r="L32" s="130"/>
    </row>
    <row r="33" spans="1:12" ht="24" customHeight="1">
      <c r="A33" s="129" t="s">
        <v>31</v>
      </c>
      <c r="B33" s="129"/>
      <c r="C33" s="120" t="s">
        <v>324</v>
      </c>
      <c r="D33" s="120"/>
      <c r="E33" s="120"/>
      <c r="F33" s="120"/>
      <c r="G33" s="120"/>
      <c r="H33" s="120"/>
      <c r="I33" s="130" t="s">
        <v>325</v>
      </c>
      <c r="J33" s="130"/>
      <c r="K33" s="130"/>
      <c r="L33" s="130"/>
    </row>
    <row r="34" spans="1:12" ht="24" customHeight="1">
      <c r="A34" s="126" t="s">
        <v>326</v>
      </c>
      <c r="B34" s="126"/>
      <c r="C34" s="127" t="s">
        <v>327</v>
      </c>
      <c r="D34" s="127"/>
      <c r="E34" s="127"/>
      <c r="F34" s="127"/>
      <c r="G34" s="127"/>
      <c r="H34" s="127"/>
      <c r="I34" s="128" t="s">
        <v>328</v>
      </c>
      <c r="J34" s="128"/>
      <c r="K34" s="128"/>
      <c r="L34" s="128"/>
    </row>
    <row r="35" spans="1:12" ht="17.25" customHeight="1">
      <c r="A35" s="63"/>
      <c r="B35" s="63"/>
      <c r="C35" s="63"/>
      <c r="D35" s="63"/>
      <c r="E35" s="63"/>
      <c r="F35" s="64"/>
      <c r="G35" s="64"/>
      <c r="H35" s="65"/>
      <c r="I35" s="63"/>
      <c r="J35" s="63" t="str">
        <f t="shared" ref="J35:J49" si="0">IF(COUNTA(F35:G35)=0,"",IF(I35="Y","무조건 유지",IF(MAX(ABS(F35),ABS(G35))&gt;=0.6,"유지 우선",IF(MAX(ABS(F35),ABS(G35))&gt;=0.3,"추가 검토","삭제 후보"))))</f>
        <v/>
      </c>
      <c r="K35" s="63"/>
      <c r="L35" s="63"/>
    </row>
    <row r="36" spans="1:12" ht="17.25" customHeight="1">
      <c r="A36" s="63"/>
      <c r="B36" s="63"/>
      <c r="C36" s="63"/>
      <c r="D36" s="63"/>
      <c r="E36" s="63"/>
      <c r="F36" s="64"/>
      <c r="G36" s="64"/>
      <c r="H36" s="65"/>
      <c r="I36" s="63"/>
      <c r="J36" s="63" t="str">
        <f t="shared" si="0"/>
        <v/>
      </c>
      <c r="K36" s="63"/>
      <c r="L36" s="63"/>
    </row>
    <row r="37" spans="1:12" ht="17.25" customHeight="1">
      <c r="A37" s="63"/>
      <c r="B37" s="63"/>
      <c r="C37" s="63"/>
      <c r="D37" s="63"/>
      <c r="E37" s="63"/>
      <c r="F37" s="64"/>
      <c r="G37" s="64"/>
      <c r="H37" s="65"/>
      <c r="I37" s="63"/>
      <c r="J37" s="63" t="str">
        <f t="shared" si="0"/>
        <v/>
      </c>
      <c r="K37" s="63"/>
      <c r="L37" s="63"/>
    </row>
    <row r="38" spans="1:12" ht="17.25" customHeight="1">
      <c r="A38" s="63"/>
      <c r="B38" s="63"/>
      <c r="C38" s="63"/>
      <c r="D38" s="63"/>
      <c r="E38" s="63"/>
      <c r="F38" s="64"/>
      <c r="G38" s="64"/>
      <c r="H38" s="65"/>
      <c r="I38" s="63"/>
      <c r="J38" s="63" t="str">
        <f t="shared" si="0"/>
        <v/>
      </c>
      <c r="K38" s="63"/>
      <c r="L38" s="63"/>
    </row>
    <row r="39" spans="1:12" ht="17.25" customHeight="1">
      <c r="A39" s="63"/>
      <c r="B39" s="63"/>
      <c r="C39" s="63"/>
      <c r="D39" s="63"/>
      <c r="E39" s="63"/>
      <c r="F39" s="64"/>
      <c r="G39" s="64"/>
      <c r="H39" s="65"/>
      <c r="I39" s="63"/>
      <c r="J39" s="63" t="str">
        <f t="shared" si="0"/>
        <v/>
      </c>
      <c r="K39" s="63"/>
      <c r="L39" s="63"/>
    </row>
    <row r="40" spans="1:12" ht="17.25" customHeight="1">
      <c r="A40" s="63"/>
      <c r="B40" s="63"/>
      <c r="C40" s="63"/>
      <c r="D40" s="63"/>
      <c r="E40" s="63"/>
      <c r="F40" s="64"/>
      <c r="G40" s="64"/>
      <c r="H40" s="65"/>
      <c r="I40" s="63"/>
      <c r="J40" s="63" t="str">
        <f t="shared" si="0"/>
        <v/>
      </c>
      <c r="K40" s="63"/>
      <c r="L40" s="63"/>
    </row>
    <row r="41" spans="1:12" ht="17.25" customHeight="1">
      <c r="A41" s="63"/>
      <c r="B41" s="63"/>
      <c r="C41" s="63"/>
      <c r="D41" s="63"/>
      <c r="E41" s="63"/>
      <c r="F41" s="64"/>
      <c r="G41" s="64"/>
      <c r="H41" s="65"/>
      <c r="I41" s="63"/>
      <c r="J41" s="63" t="str">
        <f t="shared" si="0"/>
        <v/>
      </c>
      <c r="K41" s="63"/>
      <c r="L41" s="63"/>
    </row>
    <row r="42" spans="1:12" ht="17.25" customHeight="1">
      <c r="A42" s="63"/>
      <c r="B42" s="63"/>
      <c r="C42" s="63"/>
      <c r="D42" s="63"/>
      <c r="E42" s="63"/>
      <c r="F42" s="64"/>
      <c r="G42" s="64"/>
      <c r="H42" s="65"/>
      <c r="I42" s="63"/>
      <c r="J42" s="63" t="str">
        <f t="shared" si="0"/>
        <v/>
      </c>
      <c r="K42" s="63"/>
      <c r="L42" s="63"/>
    </row>
    <row r="43" spans="1:12" ht="17.25" customHeight="1">
      <c r="A43" s="63"/>
      <c r="B43" s="63"/>
      <c r="C43" s="63"/>
      <c r="D43" s="63"/>
      <c r="E43" s="63"/>
      <c r="F43" s="64"/>
      <c r="G43" s="64"/>
      <c r="H43" s="65"/>
      <c r="I43" s="63"/>
      <c r="J43" s="63" t="str">
        <f t="shared" si="0"/>
        <v/>
      </c>
      <c r="K43" s="63"/>
      <c r="L43" s="63"/>
    </row>
    <row r="44" spans="1:12" ht="17.25" customHeight="1">
      <c r="A44" s="63"/>
      <c r="B44" s="63"/>
      <c r="C44" s="63"/>
      <c r="D44" s="63"/>
      <c r="E44" s="63"/>
      <c r="F44" s="64"/>
      <c r="G44" s="64"/>
      <c r="H44" s="65"/>
      <c r="I44" s="63"/>
      <c r="J44" s="63" t="str">
        <f t="shared" si="0"/>
        <v/>
      </c>
      <c r="K44" s="63"/>
      <c r="L44" s="63"/>
    </row>
    <row r="45" spans="1:12" ht="17.25" customHeight="1">
      <c r="A45" s="63"/>
      <c r="B45" s="63"/>
      <c r="C45" s="63"/>
      <c r="D45" s="63"/>
      <c r="E45" s="63"/>
      <c r="F45" s="64"/>
      <c r="G45" s="64"/>
      <c r="H45" s="65"/>
      <c r="I45" s="63"/>
      <c r="J45" s="63" t="str">
        <f t="shared" si="0"/>
        <v/>
      </c>
      <c r="K45" s="63"/>
      <c r="L45" s="63"/>
    </row>
    <row r="46" spans="1:12" ht="17.25" customHeight="1">
      <c r="A46" s="63"/>
      <c r="B46" s="63"/>
      <c r="C46" s="63"/>
      <c r="D46" s="63"/>
      <c r="E46" s="63"/>
      <c r="F46" s="64"/>
      <c r="G46" s="64"/>
      <c r="H46" s="65"/>
      <c r="I46" s="63"/>
      <c r="J46" s="63" t="str">
        <f t="shared" si="0"/>
        <v/>
      </c>
      <c r="K46" s="63"/>
      <c r="L46" s="63"/>
    </row>
    <row r="47" spans="1:12" ht="17.25" customHeight="1">
      <c r="A47" s="63"/>
      <c r="B47" s="63"/>
      <c r="C47" s="63"/>
      <c r="D47" s="63"/>
      <c r="E47" s="63"/>
      <c r="F47" s="64"/>
      <c r="G47" s="64"/>
      <c r="H47" s="65"/>
      <c r="I47" s="63"/>
      <c r="J47" s="63" t="str">
        <f t="shared" si="0"/>
        <v/>
      </c>
      <c r="K47" s="63"/>
      <c r="L47" s="63"/>
    </row>
    <row r="48" spans="1:12" ht="17.25" customHeight="1">
      <c r="A48" s="63"/>
      <c r="B48" s="63"/>
      <c r="C48" s="63"/>
      <c r="D48" s="63"/>
      <c r="E48" s="63"/>
      <c r="F48" s="64"/>
      <c r="G48" s="64"/>
      <c r="H48" s="65"/>
      <c r="I48" s="63"/>
      <c r="J48" s="63" t="str">
        <f t="shared" si="0"/>
        <v/>
      </c>
      <c r="K48" s="63"/>
      <c r="L48" s="63"/>
    </row>
    <row r="49" spans="1:12" ht="17.25" customHeight="1">
      <c r="A49" s="63"/>
      <c r="B49" s="63"/>
      <c r="C49" s="63"/>
      <c r="D49" s="63"/>
      <c r="E49" s="63"/>
      <c r="F49" s="64"/>
      <c r="G49" s="64"/>
      <c r="H49" s="65"/>
      <c r="I49" s="63"/>
      <c r="J49" s="63" t="str">
        <f t="shared" si="0"/>
        <v/>
      </c>
      <c r="K49" s="63"/>
      <c r="L49" s="63"/>
    </row>
    <row r="50" spans="1:12" ht="1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</row>
    <row r="51" spans="1:12" ht="1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</row>
    <row r="52" spans="1:12" ht="1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</row>
    <row r="53" spans="1:12" ht="1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</row>
    <row r="54" spans="1:12" ht="1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</row>
  </sheetData>
  <mergeCells count="68">
    <mergeCell ref="A34:B34"/>
    <mergeCell ref="C34:H34"/>
    <mergeCell ref="I34:L34"/>
    <mergeCell ref="A32:B32"/>
    <mergeCell ref="C32:H32"/>
    <mergeCell ref="I32:L32"/>
    <mergeCell ref="A33:B33"/>
    <mergeCell ref="C33:H33"/>
    <mergeCell ref="I33:L33"/>
    <mergeCell ref="A30:B30"/>
    <mergeCell ref="C30:H30"/>
    <mergeCell ref="I30:L30"/>
    <mergeCell ref="A31:B31"/>
    <mergeCell ref="C31:H31"/>
    <mergeCell ref="I31:L31"/>
    <mergeCell ref="A25:L25"/>
    <mergeCell ref="A26:L26"/>
    <mergeCell ref="A28:L28"/>
    <mergeCell ref="A29:B29"/>
    <mergeCell ref="C29:H29"/>
    <mergeCell ref="I29:L29"/>
    <mergeCell ref="A23:C23"/>
    <mergeCell ref="D23:F23"/>
    <mergeCell ref="G23:L23"/>
    <mergeCell ref="A24:C24"/>
    <mergeCell ref="D24:F24"/>
    <mergeCell ref="G24:L24"/>
    <mergeCell ref="A21:C21"/>
    <mergeCell ref="D21:F21"/>
    <mergeCell ref="G21:L21"/>
    <mergeCell ref="A22:C22"/>
    <mergeCell ref="D22:F22"/>
    <mergeCell ref="G22:L22"/>
    <mergeCell ref="A17:B17"/>
    <mergeCell ref="C17:L17"/>
    <mergeCell ref="A18:B18"/>
    <mergeCell ref="C18:L18"/>
    <mergeCell ref="A20:L20"/>
    <mergeCell ref="A14:B14"/>
    <mergeCell ref="C14:L14"/>
    <mergeCell ref="A15:B15"/>
    <mergeCell ref="C15:L15"/>
    <mergeCell ref="A16:B16"/>
    <mergeCell ref="C16:L16"/>
    <mergeCell ref="A10:B10"/>
    <mergeCell ref="C10:F10"/>
    <mergeCell ref="G10:L10"/>
    <mergeCell ref="A12:L12"/>
    <mergeCell ref="A13:B13"/>
    <mergeCell ref="C13:L13"/>
    <mergeCell ref="A8:B8"/>
    <mergeCell ref="C8:F8"/>
    <mergeCell ref="G8:L8"/>
    <mergeCell ref="A9:B9"/>
    <mergeCell ref="C9:F9"/>
    <mergeCell ref="G9:L9"/>
    <mergeCell ref="A6:B6"/>
    <mergeCell ref="C6:F6"/>
    <mergeCell ref="G6:L6"/>
    <mergeCell ref="A7:B7"/>
    <mergeCell ref="C7:F7"/>
    <mergeCell ref="G7:L7"/>
    <mergeCell ref="A1:L1"/>
    <mergeCell ref="A2:L2"/>
    <mergeCell ref="A4:L4"/>
    <mergeCell ref="A5:B5"/>
    <mergeCell ref="C5:F5"/>
    <mergeCell ref="G5:L5"/>
  </mergeCells>
  <phoneticPr fontId="39" type="noConversion"/>
  <dataValidations count="3">
    <dataValidation type="list" sqref="E35:E49" xr:uid="{00000000-0002-0000-0600-000000000000}">
      <formula1>"전체,정속,가속,오르막,내리막,회생,정차"</formula1>
      <formula2>0</formula2>
    </dataValidation>
    <dataValidation type="list" sqref="I35:I49" xr:uid="{00000000-0002-0000-0600-000001000000}">
      <formula1>"Y,N"</formula1>
      <formula2>0</formula2>
    </dataValidation>
    <dataValidation type="list" sqref="K35:K49" xr:uid="{00000000-0002-0000-0600-000002000000}">
      <formula1>"PRIMARY,DETAIL,SD_ONLY,제외"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zoomScaleNormal="100" workbookViewId="0">
      <selection activeCell="A2" sqref="A2:F2"/>
    </sheetView>
  </sheetViews>
  <sheetFormatPr defaultColWidth="8.6640625" defaultRowHeight="14.4"/>
  <cols>
    <col min="1" max="1" width="14" customWidth="1"/>
    <col min="2" max="2" width="28" customWidth="1"/>
    <col min="3" max="3" width="34" customWidth="1"/>
    <col min="4" max="4" width="30" customWidth="1"/>
    <col min="5" max="5" width="48" customWidth="1"/>
    <col min="6" max="6" width="16" customWidth="1"/>
  </cols>
  <sheetData>
    <row r="1" spans="1:6" ht="24" customHeight="1">
      <c r="A1" s="103" t="s">
        <v>329</v>
      </c>
      <c r="B1" s="103"/>
      <c r="C1" s="103"/>
      <c r="D1" s="103"/>
      <c r="E1" s="103"/>
      <c r="F1" s="103"/>
    </row>
    <row r="2" spans="1:6" ht="19.5" customHeight="1">
      <c r="A2" s="104" t="s">
        <v>330</v>
      </c>
      <c r="B2" s="104"/>
      <c r="C2" s="104"/>
      <c r="D2" s="104"/>
      <c r="E2" s="104"/>
      <c r="F2" s="104"/>
    </row>
    <row r="3" spans="1:6" ht="7.5" customHeight="1">
      <c r="A3" s="131"/>
      <c r="B3" s="131"/>
      <c r="C3" s="131"/>
      <c r="D3" s="131"/>
      <c r="E3" s="131"/>
      <c r="F3" s="131"/>
    </row>
    <row r="4" spans="1:6" ht="19.5" customHeight="1">
      <c r="A4" s="105" t="s">
        <v>331</v>
      </c>
      <c r="B4" s="105"/>
      <c r="C4" s="105"/>
      <c r="D4" s="105"/>
      <c r="E4" s="105"/>
      <c r="F4" s="105"/>
    </row>
    <row r="5" spans="1:6" ht="43.5" customHeight="1">
      <c r="A5" s="6" t="s">
        <v>332</v>
      </c>
      <c r="B5" s="132" t="s">
        <v>333</v>
      </c>
      <c r="C5" s="132"/>
      <c r="D5" s="132"/>
      <c r="E5" s="132"/>
      <c r="F5" s="132"/>
    </row>
    <row r="6" spans="1:6" ht="43.5" customHeight="1">
      <c r="A6" s="6" t="s">
        <v>334</v>
      </c>
      <c r="B6" s="132" t="s">
        <v>335</v>
      </c>
      <c r="C6" s="132"/>
      <c r="D6" s="132"/>
      <c r="E6" s="132"/>
      <c r="F6" s="132"/>
    </row>
    <row r="7" spans="1:6" ht="43.5" customHeight="1">
      <c r="A7" s="6"/>
      <c r="B7" s="132"/>
      <c r="C7" s="132"/>
      <c r="D7" s="132"/>
      <c r="E7" s="132"/>
      <c r="F7" s="132"/>
    </row>
    <row r="8" spans="1:6" ht="7.5" customHeight="1">
      <c r="A8" s="131"/>
      <c r="B8" s="131"/>
      <c r="C8" s="131"/>
      <c r="D8" s="131"/>
      <c r="E8" s="131"/>
      <c r="F8" s="131"/>
    </row>
    <row r="9" spans="1:6" ht="19.5" customHeight="1">
      <c r="A9" s="105" t="s">
        <v>336</v>
      </c>
      <c r="B9" s="105"/>
      <c r="C9" s="105"/>
      <c r="D9" s="105"/>
      <c r="E9" s="105"/>
      <c r="F9" s="105"/>
    </row>
    <row r="10" spans="1:6" ht="30" customHeight="1">
      <c r="A10" s="7" t="s">
        <v>314</v>
      </c>
      <c r="B10" s="8" t="s">
        <v>337</v>
      </c>
      <c r="C10" s="8" t="s">
        <v>338</v>
      </c>
      <c r="D10" s="66" t="s">
        <v>339</v>
      </c>
      <c r="E10" s="8" t="s">
        <v>340</v>
      </c>
      <c r="F10" s="46" t="s">
        <v>341</v>
      </c>
    </row>
    <row r="11" spans="1:6" ht="61.5" customHeight="1">
      <c r="A11" s="51" t="s">
        <v>342</v>
      </c>
      <c r="B11" s="1" t="s">
        <v>343</v>
      </c>
      <c r="C11" s="50" t="s">
        <v>344</v>
      </c>
      <c r="D11" s="1" t="s">
        <v>583</v>
      </c>
      <c r="E11" s="3" t="s">
        <v>345</v>
      </c>
      <c r="F11" s="33" t="s">
        <v>27</v>
      </c>
    </row>
    <row r="12" spans="1:6" ht="75" customHeight="1">
      <c r="A12" s="12" t="s">
        <v>346</v>
      </c>
      <c r="B12" s="1" t="s">
        <v>347</v>
      </c>
      <c r="C12" s="50" t="s">
        <v>348</v>
      </c>
      <c r="D12" s="1" t="s">
        <v>584</v>
      </c>
      <c r="E12" s="3" t="s">
        <v>585</v>
      </c>
      <c r="F12" s="33" t="s">
        <v>27</v>
      </c>
    </row>
    <row r="13" spans="1:6" ht="61.5" customHeight="1">
      <c r="A13" s="51" t="s">
        <v>349</v>
      </c>
      <c r="B13" s="1" t="s">
        <v>350</v>
      </c>
      <c r="C13" s="50" t="s">
        <v>351</v>
      </c>
      <c r="D13" s="1" t="s">
        <v>586</v>
      </c>
      <c r="E13" s="3" t="s">
        <v>352</v>
      </c>
      <c r="F13" s="33" t="s">
        <v>27</v>
      </c>
    </row>
    <row r="14" spans="1:6" ht="61.5" customHeight="1">
      <c r="A14" s="51" t="s">
        <v>353</v>
      </c>
      <c r="B14" s="1" t="s">
        <v>354</v>
      </c>
      <c r="C14" s="13" t="s">
        <v>355</v>
      </c>
      <c r="D14" s="1" t="s">
        <v>587</v>
      </c>
      <c r="E14" s="3" t="s">
        <v>356</v>
      </c>
      <c r="F14" s="33" t="s">
        <v>27</v>
      </c>
    </row>
    <row r="15" spans="1:6" ht="61.5" customHeight="1">
      <c r="A15" s="51" t="s">
        <v>357</v>
      </c>
      <c r="B15" s="1" t="s">
        <v>358</v>
      </c>
      <c r="C15" s="13" t="s">
        <v>359</v>
      </c>
      <c r="D15" s="1" t="s">
        <v>588</v>
      </c>
      <c r="E15" s="3" t="s">
        <v>360</v>
      </c>
      <c r="F15" s="33" t="s">
        <v>27</v>
      </c>
    </row>
    <row r="16" spans="1:6" ht="75" customHeight="1">
      <c r="A16" s="51" t="s">
        <v>357</v>
      </c>
      <c r="B16" s="1" t="s">
        <v>361</v>
      </c>
      <c r="C16" s="13" t="s">
        <v>362</v>
      </c>
      <c r="D16" s="1" t="s">
        <v>363</v>
      </c>
      <c r="E16" s="3" t="s">
        <v>364</v>
      </c>
      <c r="F16" s="33" t="s">
        <v>29</v>
      </c>
    </row>
    <row r="17" spans="1:6" ht="61.5" customHeight="1">
      <c r="A17" s="51" t="s">
        <v>365</v>
      </c>
      <c r="B17" s="1" t="s">
        <v>366</v>
      </c>
      <c r="C17" s="13" t="s">
        <v>367</v>
      </c>
      <c r="D17" s="1" t="s">
        <v>368</v>
      </c>
      <c r="E17" s="3" t="s">
        <v>369</v>
      </c>
      <c r="F17" s="33" t="s">
        <v>29</v>
      </c>
    </row>
    <row r="18" spans="1:6" ht="36" customHeight="1">
      <c r="A18" s="51" t="s">
        <v>365</v>
      </c>
      <c r="B18" s="1" t="s">
        <v>370</v>
      </c>
      <c r="C18" s="13" t="s">
        <v>371</v>
      </c>
      <c r="D18" s="1" t="s">
        <v>372</v>
      </c>
      <c r="E18" s="3" t="s">
        <v>373</v>
      </c>
      <c r="F18" s="33" t="s">
        <v>27</v>
      </c>
    </row>
    <row r="19" spans="1:6" ht="36" customHeight="1">
      <c r="A19" s="51" t="s">
        <v>374</v>
      </c>
      <c r="B19" s="1" t="s">
        <v>375</v>
      </c>
      <c r="C19" s="13" t="s">
        <v>376</v>
      </c>
      <c r="D19" s="1" t="s">
        <v>377</v>
      </c>
      <c r="E19" s="3" t="s">
        <v>378</v>
      </c>
      <c r="F19" s="33" t="s">
        <v>31</v>
      </c>
    </row>
    <row r="20" spans="1:6" ht="75" customHeight="1">
      <c r="A20" s="51" t="s">
        <v>379</v>
      </c>
      <c r="B20" s="3" t="s">
        <v>380</v>
      </c>
      <c r="C20" s="50" t="s">
        <v>381</v>
      </c>
      <c r="D20" s="1" t="s">
        <v>589</v>
      </c>
      <c r="E20" s="3" t="s">
        <v>382</v>
      </c>
      <c r="F20" s="33" t="s">
        <v>29</v>
      </c>
    </row>
    <row r="21" spans="1:6" ht="61.5" customHeight="1">
      <c r="A21" s="51" t="s">
        <v>383</v>
      </c>
      <c r="B21" s="3" t="s">
        <v>384</v>
      </c>
      <c r="C21" s="50" t="s">
        <v>385</v>
      </c>
      <c r="D21" s="1" t="s">
        <v>590</v>
      </c>
      <c r="E21" s="3" t="s">
        <v>386</v>
      </c>
      <c r="F21" s="33" t="s">
        <v>27</v>
      </c>
    </row>
    <row r="22" spans="1:6" ht="36" customHeight="1">
      <c r="A22" s="51" t="s">
        <v>387</v>
      </c>
      <c r="B22" s="1" t="s">
        <v>388</v>
      </c>
      <c r="C22" s="13" t="s">
        <v>389</v>
      </c>
      <c r="D22" s="1" t="s">
        <v>591</v>
      </c>
      <c r="E22" s="3" t="s">
        <v>390</v>
      </c>
      <c r="F22" s="33" t="s">
        <v>592</v>
      </c>
    </row>
    <row r="23" spans="1:6" ht="36" customHeight="1">
      <c r="A23" s="12" t="s">
        <v>391</v>
      </c>
      <c r="B23" s="1" t="s">
        <v>392</v>
      </c>
      <c r="C23" s="13" t="s">
        <v>393</v>
      </c>
      <c r="D23" s="1" t="s">
        <v>394</v>
      </c>
      <c r="E23" s="3" t="s">
        <v>395</v>
      </c>
      <c r="F23" s="33" t="s">
        <v>29</v>
      </c>
    </row>
    <row r="24" spans="1:6" ht="36" customHeight="1">
      <c r="A24" s="51" t="s">
        <v>396</v>
      </c>
      <c r="B24" s="1" t="s">
        <v>397</v>
      </c>
      <c r="C24" s="50" t="s">
        <v>398</v>
      </c>
      <c r="D24" s="1" t="s">
        <v>399</v>
      </c>
      <c r="E24" s="3" t="s">
        <v>400</v>
      </c>
      <c r="F24" s="16" t="s">
        <v>401</v>
      </c>
    </row>
    <row r="25" spans="1:6" ht="24" customHeight="1">
      <c r="A25" s="102" t="s">
        <v>402</v>
      </c>
      <c r="B25" s="102"/>
      <c r="C25" s="102"/>
      <c r="D25" s="102"/>
      <c r="E25" s="102"/>
      <c r="F25" s="102"/>
    </row>
    <row r="26" spans="1:6" ht="31.5" customHeight="1">
      <c r="A26" s="133" t="s">
        <v>593</v>
      </c>
      <c r="B26" s="133"/>
      <c r="C26" s="133"/>
      <c r="D26" s="133"/>
      <c r="E26" s="133"/>
      <c r="F26" s="133"/>
    </row>
    <row r="27" spans="1:6" ht="7.5" customHeight="1">
      <c r="A27" s="131"/>
      <c r="B27" s="131"/>
      <c r="C27" s="131"/>
      <c r="D27" s="131"/>
      <c r="E27" s="131"/>
      <c r="F27" s="131"/>
    </row>
    <row r="28" spans="1:6" ht="19.5" customHeight="1">
      <c r="A28" s="105" t="s">
        <v>403</v>
      </c>
      <c r="B28" s="105"/>
      <c r="C28" s="105"/>
      <c r="D28" s="105"/>
      <c r="E28" s="105"/>
      <c r="F28" s="105"/>
    </row>
    <row r="29" spans="1:6" ht="24" customHeight="1">
      <c r="A29" s="7" t="s">
        <v>59</v>
      </c>
      <c r="B29" s="134" t="s">
        <v>404</v>
      </c>
      <c r="C29" s="134"/>
      <c r="D29" s="134"/>
      <c r="E29" s="135" t="s">
        <v>405</v>
      </c>
      <c r="F29" s="135"/>
    </row>
    <row r="30" spans="1:6" ht="69.75" customHeight="1">
      <c r="A30" s="12" t="s">
        <v>27</v>
      </c>
      <c r="B30" s="132" t="s">
        <v>406</v>
      </c>
      <c r="C30" s="132"/>
      <c r="D30" s="132"/>
      <c r="E30" s="136" t="s">
        <v>594</v>
      </c>
      <c r="F30" s="136"/>
    </row>
    <row r="31" spans="1:6" ht="69.75" customHeight="1">
      <c r="A31" s="12" t="s">
        <v>29</v>
      </c>
      <c r="B31" s="132" t="s">
        <v>407</v>
      </c>
      <c r="C31" s="132"/>
      <c r="D31" s="132"/>
      <c r="E31" s="137" t="s">
        <v>595</v>
      </c>
      <c r="F31" s="137"/>
    </row>
    <row r="32" spans="1:6" ht="69.75" customHeight="1">
      <c r="A32" s="12" t="s">
        <v>31</v>
      </c>
      <c r="B32" s="132" t="s">
        <v>408</v>
      </c>
      <c r="C32" s="132"/>
      <c r="D32" s="132"/>
      <c r="E32" s="136" t="s">
        <v>596</v>
      </c>
      <c r="F32" s="136"/>
    </row>
    <row r="33" spans="1:6" ht="7.5" customHeight="1">
      <c r="A33" s="131"/>
      <c r="B33" s="131"/>
      <c r="C33" s="131"/>
      <c r="D33" s="131"/>
      <c r="E33" s="131"/>
      <c r="F33" s="131"/>
    </row>
    <row r="34" spans="1:6" ht="19.5" customHeight="1">
      <c r="A34" s="105" t="s">
        <v>409</v>
      </c>
      <c r="B34" s="105"/>
      <c r="C34" s="105"/>
      <c r="D34" s="105"/>
      <c r="E34" s="105"/>
      <c r="F34" s="105"/>
    </row>
    <row r="35" spans="1:6" ht="43.5" customHeight="1">
      <c r="A35" s="6" t="s">
        <v>410</v>
      </c>
      <c r="B35" s="132" t="s">
        <v>411</v>
      </c>
      <c r="C35" s="132"/>
      <c r="D35" s="132"/>
      <c r="E35" s="132"/>
      <c r="F35" s="132"/>
    </row>
    <row r="36" spans="1:6" ht="43.5" customHeight="1">
      <c r="A36" s="6" t="s">
        <v>412</v>
      </c>
      <c r="B36" s="132" t="s">
        <v>413</v>
      </c>
      <c r="C36" s="132"/>
      <c r="D36" s="132"/>
      <c r="E36" s="132"/>
      <c r="F36" s="132"/>
    </row>
    <row r="37" spans="1:6" ht="43.5" customHeight="1">
      <c r="A37" s="6" t="s">
        <v>414</v>
      </c>
      <c r="B37" s="138" t="s">
        <v>415</v>
      </c>
      <c r="C37" s="138"/>
      <c r="D37" s="138"/>
      <c r="E37" s="138"/>
      <c r="F37" s="138"/>
    </row>
    <row r="38" spans="1:6" ht="43.5" customHeight="1">
      <c r="A38" s="6" t="s">
        <v>416</v>
      </c>
      <c r="B38" s="132" t="s">
        <v>417</v>
      </c>
      <c r="C38" s="132"/>
      <c r="D38" s="132"/>
      <c r="E38" s="132"/>
      <c r="F38" s="132"/>
    </row>
  </sheetData>
  <mergeCells count="27">
    <mergeCell ref="B38:F38"/>
    <mergeCell ref="A33:F33"/>
    <mergeCell ref="A34:F34"/>
    <mergeCell ref="B35:F35"/>
    <mergeCell ref="B36:F36"/>
    <mergeCell ref="B37:F37"/>
    <mergeCell ref="B30:D30"/>
    <mergeCell ref="E30:F30"/>
    <mergeCell ref="B31:D31"/>
    <mergeCell ref="E31:F31"/>
    <mergeCell ref="B32:D32"/>
    <mergeCell ref="E32:F32"/>
    <mergeCell ref="A26:F26"/>
    <mergeCell ref="A27:F27"/>
    <mergeCell ref="A28:F28"/>
    <mergeCell ref="B29:D29"/>
    <mergeCell ref="E29:F29"/>
    <mergeCell ref="B6:F6"/>
    <mergeCell ref="B7:F7"/>
    <mergeCell ref="A8:F8"/>
    <mergeCell ref="A9:F9"/>
    <mergeCell ref="A25:F25"/>
    <mergeCell ref="A1:F1"/>
    <mergeCell ref="A2:F2"/>
    <mergeCell ref="A3:F3"/>
    <mergeCell ref="A4:F4"/>
    <mergeCell ref="B5:F5"/>
  </mergeCells>
  <phoneticPr fontId="3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6"/>
  <sheetViews>
    <sheetView showGridLines="0" topLeftCell="A77" zoomScaleNormal="100" workbookViewId="0">
      <selection activeCell="D5" sqref="D5"/>
    </sheetView>
  </sheetViews>
  <sheetFormatPr defaultColWidth="8.6640625" defaultRowHeight="14.4"/>
  <cols>
    <col min="1" max="1" width="10" customWidth="1"/>
    <col min="2" max="2" width="45" customWidth="1"/>
    <col min="3" max="3" width="14" customWidth="1"/>
    <col min="4" max="5" width="44" customWidth="1"/>
    <col min="6" max="6" width="56" customWidth="1"/>
  </cols>
  <sheetData>
    <row r="1" spans="1:6" ht="27.75" customHeight="1">
      <c r="A1" s="141" t="s">
        <v>418</v>
      </c>
      <c r="B1" s="141"/>
      <c r="C1" s="141"/>
      <c r="D1" s="141"/>
      <c r="E1" s="141"/>
      <c r="F1" s="141"/>
    </row>
    <row r="2" spans="1:6" ht="18" customHeight="1">
      <c r="A2" s="142" t="s">
        <v>494</v>
      </c>
      <c r="B2" s="143"/>
      <c r="C2" s="143"/>
      <c r="D2" s="143"/>
      <c r="E2" s="143"/>
      <c r="F2" s="143"/>
    </row>
    <row r="4" spans="1:6" ht="16.5" customHeight="1">
      <c r="A4" s="144" t="s">
        <v>419</v>
      </c>
      <c r="B4" s="144"/>
      <c r="C4" s="144"/>
      <c r="D4" s="144"/>
      <c r="E4" s="144"/>
      <c r="F4" s="144"/>
    </row>
    <row r="5" spans="1:6" ht="21.75" customHeight="1">
      <c r="A5" s="68" t="s">
        <v>420</v>
      </c>
      <c r="B5" s="68" t="s">
        <v>421</v>
      </c>
    </row>
    <row r="6" spans="1:6" ht="19.5" customHeight="1">
      <c r="A6" s="94" t="s">
        <v>422</v>
      </c>
      <c r="B6" s="70" t="s">
        <v>423</v>
      </c>
    </row>
    <row r="7" spans="1:6" ht="19.5" customHeight="1">
      <c r="A7" s="94" t="s">
        <v>424</v>
      </c>
      <c r="B7" s="70" t="s">
        <v>425</v>
      </c>
    </row>
    <row r="8" spans="1:6" ht="19.5" customHeight="1">
      <c r="A8" s="94" t="s">
        <v>426</v>
      </c>
      <c r="B8" s="70" t="s">
        <v>427</v>
      </c>
    </row>
    <row r="9" spans="1:6" ht="19.5" customHeight="1">
      <c r="A9" s="94" t="s">
        <v>428</v>
      </c>
      <c r="B9" s="70" t="s">
        <v>429</v>
      </c>
    </row>
    <row r="10" spans="1:6" ht="19.5" customHeight="1">
      <c r="A10" s="94" t="s">
        <v>430</v>
      </c>
      <c r="B10" s="70" t="s">
        <v>431</v>
      </c>
    </row>
    <row r="11" spans="1:6" ht="19.5" customHeight="1">
      <c r="A11" s="69" t="s">
        <v>432</v>
      </c>
      <c r="B11" s="70" t="s">
        <v>433</v>
      </c>
    </row>
    <row r="12" spans="1:6" ht="19.5" customHeight="1">
      <c r="A12" s="69" t="s">
        <v>434</v>
      </c>
      <c r="B12" s="71" t="s">
        <v>435</v>
      </c>
    </row>
    <row r="13" spans="1:6" ht="19.5" customHeight="1">
      <c r="A13" s="69" t="s">
        <v>436</v>
      </c>
      <c r="B13" s="70" t="s">
        <v>437</v>
      </c>
    </row>
    <row r="14" spans="1:6" ht="19.5" customHeight="1">
      <c r="A14" s="69" t="s">
        <v>438</v>
      </c>
      <c r="B14" s="70" t="s">
        <v>439</v>
      </c>
    </row>
    <row r="15" spans="1:6" ht="19.5" customHeight="1">
      <c r="A15" s="69" t="s">
        <v>440</v>
      </c>
      <c r="B15" s="70" t="s">
        <v>441</v>
      </c>
    </row>
    <row r="16" spans="1:6" ht="19.5" customHeight="1">
      <c r="A16" s="69" t="s">
        <v>442</v>
      </c>
      <c r="B16" s="70" t="s">
        <v>443</v>
      </c>
    </row>
    <row r="17" spans="1:2" ht="19.5" customHeight="1">
      <c r="A17" s="69" t="s">
        <v>444</v>
      </c>
      <c r="B17" s="71" t="s">
        <v>445</v>
      </c>
    </row>
    <row r="18" spans="1:2" ht="19.5" customHeight="1">
      <c r="A18" s="69" t="s">
        <v>446</v>
      </c>
      <c r="B18" s="70" t="s">
        <v>447</v>
      </c>
    </row>
    <row r="19" spans="1:2" ht="19.5" customHeight="1">
      <c r="A19" s="69" t="s">
        <v>448</v>
      </c>
      <c r="B19" s="70" t="s">
        <v>449</v>
      </c>
    </row>
    <row r="20" spans="1:2" ht="48" customHeight="1">
      <c r="A20" s="139" t="s">
        <v>450</v>
      </c>
      <c r="B20" s="139"/>
    </row>
    <row r="22" spans="1:2" ht="15" customHeight="1">
      <c r="A22" s="67" t="s">
        <v>451</v>
      </c>
    </row>
    <row r="45" spans="1:1" ht="15" customHeight="1">
      <c r="A45" s="67" t="s">
        <v>452</v>
      </c>
    </row>
    <row r="69" spans="1:6" ht="16.5" customHeight="1">
      <c r="A69" s="144" t="s">
        <v>453</v>
      </c>
      <c r="B69" s="144"/>
      <c r="C69" s="144"/>
      <c r="D69" s="144"/>
      <c r="E69" s="144"/>
      <c r="F69" s="144"/>
    </row>
    <row r="70" spans="1:6" ht="21.75" customHeight="1">
      <c r="A70" s="68" t="s">
        <v>454</v>
      </c>
      <c r="B70" s="68" t="s">
        <v>59</v>
      </c>
      <c r="C70" s="68" t="s">
        <v>60</v>
      </c>
      <c r="D70" s="68" t="s">
        <v>455</v>
      </c>
      <c r="E70" s="68" t="s">
        <v>62</v>
      </c>
      <c r="F70" s="68" t="s">
        <v>63</v>
      </c>
    </row>
    <row r="71" spans="1:6" ht="57" customHeight="1">
      <c r="A71" s="72" t="s">
        <v>456</v>
      </c>
      <c r="B71" s="72" t="s">
        <v>146</v>
      </c>
      <c r="C71" s="72" t="s">
        <v>146</v>
      </c>
      <c r="D71" s="73" t="s">
        <v>457</v>
      </c>
      <c r="E71" s="73" t="s">
        <v>458</v>
      </c>
      <c r="F71" s="81" t="s">
        <v>459</v>
      </c>
    </row>
    <row r="72" spans="1:6" ht="94.5" customHeight="1">
      <c r="A72" s="75" t="s">
        <v>456</v>
      </c>
      <c r="B72" s="75" t="s">
        <v>146</v>
      </c>
      <c r="C72" s="75" t="s">
        <v>146</v>
      </c>
      <c r="D72" s="70" t="s">
        <v>460</v>
      </c>
      <c r="E72" s="70" t="s">
        <v>461</v>
      </c>
      <c r="F72" s="76" t="s">
        <v>462</v>
      </c>
    </row>
    <row r="73" spans="1:6" ht="37.5" customHeight="1">
      <c r="A73" s="72" t="s">
        <v>456</v>
      </c>
      <c r="B73" s="77" t="s">
        <v>29</v>
      </c>
      <c r="C73" s="78" t="s">
        <v>555</v>
      </c>
      <c r="D73" s="79" t="s">
        <v>463</v>
      </c>
      <c r="E73" s="79" t="s">
        <v>464</v>
      </c>
      <c r="F73" s="81" t="s">
        <v>465</v>
      </c>
    </row>
    <row r="74" spans="1:6" ht="37.5" customHeight="1">
      <c r="A74" s="75" t="s">
        <v>456</v>
      </c>
      <c r="B74" s="80" t="s">
        <v>27</v>
      </c>
      <c r="C74" s="69" t="s">
        <v>559</v>
      </c>
      <c r="D74" s="71" t="s">
        <v>466</v>
      </c>
      <c r="E74" s="70" t="s">
        <v>177</v>
      </c>
      <c r="F74" s="74" t="s">
        <v>467</v>
      </c>
    </row>
    <row r="75" spans="1:6" ht="57" customHeight="1">
      <c r="A75" s="72" t="s">
        <v>456</v>
      </c>
      <c r="B75" s="77" t="s">
        <v>27</v>
      </c>
      <c r="C75" s="78" t="s">
        <v>523</v>
      </c>
      <c r="D75" s="79" t="s">
        <v>468</v>
      </c>
      <c r="E75" s="73" t="s">
        <v>66</v>
      </c>
      <c r="F75" s="81" t="s">
        <v>469</v>
      </c>
    </row>
    <row r="76" spans="1:6" ht="37.5" customHeight="1">
      <c r="A76" s="72" t="s">
        <v>456</v>
      </c>
      <c r="B76" s="77" t="s">
        <v>27</v>
      </c>
      <c r="C76" s="72" t="s">
        <v>574</v>
      </c>
      <c r="D76" s="79" t="s">
        <v>470</v>
      </c>
      <c r="E76" s="73" t="s">
        <v>149</v>
      </c>
      <c r="F76" s="82" t="s">
        <v>471</v>
      </c>
    </row>
    <row r="77" spans="1:6" ht="57" customHeight="1">
      <c r="A77" s="75" t="s">
        <v>456</v>
      </c>
      <c r="B77" s="80" t="s">
        <v>29</v>
      </c>
      <c r="C77" s="69" t="s">
        <v>201</v>
      </c>
      <c r="D77" s="71" t="s">
        <v>472</v>
      </c>
      <c r="E77" s="70" t="s">
        <v>203</v>
      </c>
      <c r="F77" s="76" t="s">
        <v>473</v>
      </c>
    </row>
    <row r="78" spans="1:6" ht="37.5" customHeight="1">
      <c r="A78" s="75" t="s">
        <v>456</v>
      </c>
      <c r="B78" s="80" t="s">
        <v>27</v>
      </c>
      <c r="C78" s="69" t="s">
        <v>205</v>
      </c>
      <c r="D78" s="71" t="s">
        <v>474</v>
      </c>
      <c r="E78" s="70" t="s">
        <v>207</v>
      </c>
      <c r="F78" s="76" t="s">
        <v>475</v>
      </c>
    </row>
    <row r="79" spans="1:6" ht="37.5" customHeight="1">
      <c r="A79" s="75" t="s">
        <v>456</v>
      </c>
      <c r="B79" s="75" t="s">
        <v>146</v>
      </c>
      <c r="C79" s="75" t="s">
        <v>146</v>
      </c>
      <c r="D79" s="70" t="s">
        <v>476</v>
      </c>
      <c r="E79" s="71" t="s">
        <v>477</v>
      </c>
      <c r="F79" s="76" t="s">
        <v>478</v>
      </c>
    </row>
    <row r="80" spans="1:6" ht="19.5" customHeight="1">
      <c r="A80" s="75" t="s">
        <v>456</v>
      </c>
      <c r="B80" s="75" t="s">
        <v>146</v>
      </c>
      <c r="C80" s="75" t="s">
        <v>146</v>
      </c>
      <c r="D80" s="70" t="s">
        <v>479</v>
      </c>
      <c r="E80" s="70" t="s">
        <v>480</v>
      </c>
      <c r="F80" s="76" t="s">
        <v>481</v>
      </c>
    </row>
    <row r="81" spans="1:6" ht="57" customHeight="1">
      <c r="A81" s="72" t="s">
        <v>482</v>
      </c>
      <c r="B81" s="72" t="s">
        <v>146</v>
      </c>
      <c r="C81" s="72" t="s">
        <v>146</v>
      </c>
      <c r="D81" s="73" t="s">
        <v>483</v>
      </c>
      <c r="E81" s="73" t="s">
        <v>484</v>
      </c>
      <c r="F81" s="82" t="s">
        <v>485</v>
      </c>
    </row>
    <row r="82" spans="1:6" ht="57" customHeight="1">
      <c r="A82" s="75" t="s">
        <v>482</v>
      </c>
      <c r="B82" s="75" t="s">
        <v>146</v>
      </c>
      <c r="C82" s="75" t="s">
        <v>146</v>
      </c>
      <c r="D82" s="70" t="s">
        <v>486</v>
      </c>
      <c r="E82" s="70" t="s">
        <v>487</v>
      </c>
      <c r="F82" s="76" t="s">
        <v>488</v>
      </c>
    </row>
    <row r="83" spans="1:6" ht="37.5" customHeight="1">
      <c r="A83" s="75" t="s">
        <v>482</v>
      </c>
      <c r="B83" s="75" t="s">
        <v>146</v>
      </c>
      <c r="C83" s="75" t="s">
        <v>146</v>
      </c>
      <c r="D83" s="70" t="s">
        <v>489</v>
      </c>
      <c r="E83" s="70" t="s">
        <v>490</v>
      </c>
      <c r="F83" s="76" t="s">
        <v>491</v>
      </c>
    </row>
    <row r="84" spans="1:6" ht="31.5" customHeight="1">
      <c r="A84" s="139" t="s">
        <v>606</v>
      </c>
      <c r="B84" s="139"/>
      <c r="C84" s="139"/>
      <c r="D84" s="139"/>
      <c r="E84" s="139"/>
      <c r="F84" s="139"/>
    </row>
    <row r="85" spans="1:6" ht="18" customHeight="1">
      <c r="A85" s="97" t="s">
        <v>492</v>
      </c>
      <c r="B85" s="97"/>
      <c r="C85" s="97"/>
      <c r="D85" s="97"/>
      <c r="E85" s="97"/>
      <c r="F85" s="97"/>
    </row>
    <row r="86" spans="1:6" ht="18" customHeight="1">
      <c r="A86" s="140" t="s">
        <v>493</v>
      </c>
      <c r="B86" s="140"/>
      <c r="C86" s="140"/>
      <c r="D86" s="140"/>
      <c r="E86" s="140"/>
      <c r="F86" s="140"/>
    </row>
  </sheetData>
  <mergeCells count="8">
    <mergeCell ref="A84:F84"/>
    <mergeCell ref="A85:F85"/>
    <mergeCell ref="A86:F86"/>
    <mergeCell ref="A1:F1"/>
    <mergeCell ref="A2:F2"/>
    <mergeCell ref="A4:F4"/>
    <mergeCell ref="A20:B20"/>
    <mergeCell ref="A69:F69"/>
  </mergeCells>
  <phoneticPr fontId="39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개요</vt:lpstr>
      <vt:lpstr>BMS(HV)</vt:lpstr>
      <vt:lpstr>BMS(LV)</vt:lpstr>
      <vt:lpstr>MPPT</vt:lpstr>
      <vt:lpstr>Motor</vt:lpstr>
      <vt:lpstr>전체 요약</vt:lpstr>
      <vt:lpstr>테스트 후 상관분석</vt:lpstr>
      <vt:lpstr>시뮬레이션 연계</vt:lpstr>
      <vt:lpstr>디스플레이 표시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chanseok oh</dc:creator>
  <dc:description/>
  <cp:lastModifiedBy>chanseok oh</cp:lastModifiedBy>
  <cp:revision>0</cp:revision>
  <dcterms:created xsi:type="dcterms:W3CDTF">2026-07-11T09:41:01Z</dcterms:created>
  <dcterms:modified xsi:type="dcterms:W3CDTF">2026-08-05T02:27:07Z</dcterms:modified>
  <dc:language>en-US</dc:language>
</cp:coreProperties>
</file>